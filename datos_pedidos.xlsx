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rtes\"/>
    </mc:Choice>
  </mc:AlternateContent>
  <xr:revisionPtr revIDLastSave="0" documentId="13_ncr:1_{FF408D82-42F7-431C-92EC-CBE1F449645F}" xr6:coauthVersionLast="47" xr6:coauthVersionMax="47" xr10:uidLastSave="{00000000-0000-0000-0000-000000000000}"/>
  <bookViews>
    <workbookView xWindow="-120" yWindow="-120" windowWidth="29040" windowHeight="16440" activeTab="1" xr2:uid="{FEF9692B-7B8E-4072-8F69-447578BC5ABD}"/>
  </bookViews>
  <sheets>
    <sheet name="Hoja1" sheetId="5" r:id="rId1"/>
    <sheet name="Pedidos_Pistachos (2)" sheetId="4" r:id="rId2"/>
    <sheet name="Pedidos Pendientes" sheetId="6" r:id="rId3"/>
    <sheet name="Pedidos Facturados" sheetId="7" r:id="rId4"/>
  </sheets>
  <definedNames>
    <definedName name="DatosExternos_2" localSheetId="1" hidden="1">'Pedidos_Pistachos (2)'!$A$1:$AM$241</definedName>
  </definedNames>
  <calcPr calcId="191029"/>
  <pivotCaches>
    <pivotCache cacheId="39" r:id="rId5"/>
    <pivotCache cacheId="4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2" i="4" l="1"/>
  <c r="K242" i="4"/>
  <c r="L242" i="4"/>
  <c r="M242" i="4"/>
  <c r="AN233" i="4"/>
  <c r="AO233" i="4" s="1"/>
  <c r="AN232" i="4"/>
  <c r="AO232" i="4" s="1"/>
  <c r="AN231" i="4"/>
  <c r="AO231" i="4" s="1"/>
  <c r="AN229" i="4"/>
  <c r="AO229" i="4" s="1"/>
  <c r="AN227" i="4"/>
  <c r="AO227" i="4" s="1"/>
  <c r="AN225" i="4"/>
  <c r="AO225" i="4" s="1"/>
  <c r="AN228" i="4"/>
  <c r="AO228" i="4" s="1"/>
  <c r="AN224" i="4"/>
  <c r="AN223" i="4"/>
  <c r="AN221" i="4"/>
  <c r="AN222" i="4"/>
  <c r="AN214" i="4"/>
  <c r="AN215" i="4"/>
  <c r="AN216" i="4"/>
  <c r="AN217" i="4"/>
  <c r="AN234" i="4"/>
  <c r="AN213" i="4"/>
  <c r="AN207" i="4"/>
  <c r="AN208" i="4"/>
  <c r="AN209" i="4"/>
  <c r="AN210" i="4"/>
  <c r="AN211" i="4"/>
  <c r="AN212" i="4"/>
  <c r="AN204" i="4"/>
  <c r="AN235" i="4"/>
  <c r="AN236" i="4"/>
  <c r="AN201" i="4"/>
  <c r="AN237" i="4"/>
  <c r="AN202" i="4"/>
  <c r="AN203" i="4"/>
  <c r="AN238" i="4"/>
  <c r="AN200" i="4"/>
  <c r="AN199" i="4"/>
  <c r="AN197" i="4"/>
  <c r="AN198" i="4"/>
  <c r="AN205" i="4"/>
  <c r="AN218" i="4"/>
  <c r="AN219" i="4"/>
  <c r="AN196" i="4"/>
  <c r="AN239" i="4"/>
  <c r="AN206" i="4"/>
  <c r="AN220" i="4"/>
  <c r="AN226" i="4"/>
  <c r="AN230" i="4"/>
  <c r="AN195" i="4"/>
  <c r="AN194" i="4"/>
  <c r="AN193" i="4"/>
  <c r="AN192" i="4"/>
  <c r="AN191" i="4"/>
  <c r="AN190" i="4"/>
  <c r="AN187" i="4"/>
  <c r="AN188" i="4"/>
  <c r="AN189" i="4"/>
  <c r="AN186" i="4"/>
  <c r="AN185" i="4"/>
  <c r="AN184" i="4"/>
  <c r="AN183" i="4"/>
  <c r="AN182" i="4"/>
  <c r="AN174" i="4"/>
  <c r="AN175" i="4"/>
  <c r="AN173" i="4"/>
  <c r="AN172" i="4"/>
  <c r="AN171" i="4"/>
  <c r="AN170" i="4"/>
  <c r="AN176" i="4"/>
  <c r="AN167" i="4"/>
  <c r="AN162" i="4"/>
  <c r="AN163" i="4"/>
  <c r="AN156" i="4"/>
  <c r="AN240" i="4"/>
  <c r="AN155" i="4"/>
  <c r="AN154" i="4"/>
  <c r="AN168" i="4"/>
  <c r="AN153" i="4"/>
  <c r="AN148" i="4"/>
  <c r="AN150" i="4"/>
  <c r="AN164" i="4"/>
  <c r="AN139" i="4"/>
  <c r="AN140" i="4"/>
  <c r="AN141" i="4"/>
  <c r="AN165" i="4"/>
  <c r="AN144" i="4"/>
  <c r="AN137" i="4"/>
  <c r="AN160" i="4"/>
  <c r="AN138" i="4"/>
  <c r="AN161" i="4"/>
  <c r="AN177" i="4"/>
  <c r="AN169" i="4"/>
  <c r="AN145" i="4"/>
  <c r="AN130" i="4"/>
  <c r="AN146" i="4"/>
  <c r="AN147" i="4"/>
  <c r="AN166" i="4"/>
  <c r="AN149" i="4"/>
  <c r="AN142" i="4"/>
  <c r="AN178" i="4"/>
  <c r="AN157" i="4"/>
  <c r="AN129" i="4"/>
  <c r="AN127" i="4"/>
  <c r="AN128" i="4"/>
  <c r="AN123" i="4"/>
  <c r="AN124" i="4"/>
  <c r="AN125" i="4"/>
  <c r="AN126" i="4"/>
  <c r="AN113" i="4"/>
  <c r="AN114" i="4"/>
  <c r="AN115" i="4"/>
  <c r="AN116" i="4"/>
  <c r="AN134" i="4"/>
  <c r="AN135" i="4"/>
  <c r="AN241" i="4"/>
  <c r="AN143" i="4"/>
  <c r="AN151" i="4"/>
  <c r="AN152" i="4"/>
  <c r="AN131" i="4"/>
  <c r="AN132" i="4"/>
  <c r="AN56" i="4"/>
  <c r="AN57" i="4"/>
  <c r="AN58" i="4"/>
  <c r="AN59" i="4"/>
  <c r="AN60" i="4"/>
  <c r="AN158" i="4"/>
  <c r="AN159" i="4"/>
  <c r="AN61" i="4"/>
  <c r="AN136" i="4"/>
  <c r="AN179" i="4"/>
  <c r="AN180" i="4"/>
  <c r="AN181" i="4"/>
  <c r="AN49" i="4"/>
  <c r="AN117" i="4"/>
  <c r="AN50" i="4"/>
  <c r="AN51" i="4"/>
  <c r="AN52" i="4"/>
  <c r="AN62" i="4"/>
  <c r="AN63" i="4"/>
  <c r="AN64" i="4"/>
  <c r="AN65" i="4"/>
  <c r="AN66" i="4"/>
  <c r="AN67" i="4"/>
  <c r="AN68" i="4"/>
  <c r="AN69" i="4"/>
  <c r="AN70" i="4"/>
  <c r="AN71" i="4"/>
  <c r="AN118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119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20" i="4"/>
  <c r="AN110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53" i="4"/>
  <c r="AN54" i="4"/>
  <c r="AN55" i="4"/>
  <c r="AN111" i="4"/>
  <c r="AN32" i="4"/>
  <c r="AN33" i="4"/>
  <c r="AN34" i="4"/>
  <c r="AN35" i="4"/>
  <c r="AN25" i="4"/>
  <c r="AN26" i="4"/>
  <c r="AN27" i="4"/>
  <c r="AN28" i="4"/>
  <c r="AN29" i="4"/>
  <c r="AN30" i="4"/>
  <c r="AN31" i="4"/>
  <c r="AN18" i="4"/>
  <c r="AN19" i="4"/>
  <c r="AN20" i="4"/>
  <c r="AN21" i="4"/>
  <c r="AN22" i="4"/>
  <c r="AN23" i="4"/>
  <c r="AN24" i="4"/>
  <c r="AN121" i="4"/>
  <c r="AN112" i="4"/>
  <c r="AN17" i="4"/>
  <c r="AN16" i="4"/>
  <c r="AN2" i="4"/>
  <c r="AN3" i="4"/>
  <c r="AN4" i="4"/>
  <c r="AN5" i="4"/>
  <c r="AN6" i="4"/>
  <c r="AN7" i="4"/>
  <c r="AN8" i="4"/>
  <c r="AN9" i="4"/>
  <c r="AO9" i="4" s="1"/>
  <c r="AN10" i="4"/>
  <c r="AO10" i="4" s="1"/>
  <c r="AN11" i="4"/>
  <c r="AO11" i="4" s="1"/>
  <c r="AN12" i="4"/>
  <c r="AO12" i="4" s="1"/>
  <c r="AN13" i="4"/>
  <c r="AO13" i="4" s="1"/>
  <c r="AN14" i="4"/>
  <c r="AO14" i="4" s="1"/>
  <c r="AN15" i="4"/>
  <c r="AO15" i="4" s="1"/>
  <c r="AN122" i="4"/>
  <c r="AO122" i="4" s="1"/>
  <c r="AN133" i="4"/>
  <c r="AO133" i="4" s="1"/>
  <c r="AO224" i="4"/>
  <c r="AO223" i="4"/>
  <c r="AO221" i="4"/>
  <c r="AO222" i="4"/>
  <c r="AO214" i="4"/>
  <c r="AO215" i="4"/>
  <c r="AO216" i="4"/>
  <c r="AO217" i="4"/>
  <c r="AO234" i="4"/>
  <c r="AO213" i="4"/>
  <c r="AO207" i="4"/>
  <c r="AO208" i="4"/>
  <c r="AO209" i="4"/>
  <c r="AO210" i="4"/>
  <c r="AO211" i="4"/>
  <c r="AO212" i="4"/>
  <c r="AO204" i="4"/>
  <c r="AO235" i="4"/>
  <c r="AO236" i="4"/>
  <c r="AO201" i="4"/>
  <c r="AO237" i="4"/>
  <c r="AO202" i="4"/>
  <c r="AO203" i="4"/>
  <c r="AO238" i="4"/>
  <c r="AO200" i="4"/>
  <c r="AO199" i="4"/>
  <c r="AO197" i="4"/>
  <c r="AO198" i="4"/>
  <c r="AO205" i="4"/>
  <c r="AO218" i="4"/>
  <c r="AO219" i="4"/>
  <c r="AO196" i="4"/>
  <c r="AO239" i="4"/>
  <c r="AO206" i="4"/>
  <c r="AO220" i="4"/>
  <c r="AO226" i="4"/>
  <c r="AO230" i="4"/>
  <c r="AO195" i="4"/>
  <c r="AO194" i="4"/>
  <c r="AO193" i="4"/>
  <c r="AO192" i="4"/>
  <c r="AO191" i="4"/>
  <c r="AO190" i="4"/>
  <c r="AO187" i="4"/>
  <c r="AO188" i="4"/>
  <c r="AO189" i="4"/>
  <c r="AO186" i="4"/>
  <c r="AO185" i="4"/>
  <c r="AO184" i="4"/>
  <c r="AO183" i="4"/>
  <c r="AO182" i="4"/>
  <c r="AO174" i="4"/>
  <c r="AO175" i="4"/>
  <c r="AO173" i="4"/>
  <c r="AO172" i="4"/>
  <c r="AO171" i="4"/>
  <c r="AO170" i="4"/>
  <c r="AO176" i="4"/>
  <c r="AO167" i="4"/>
  <c r="AO162" i="4"/>
  <c r="AO163" i="4"/>
  <c r="AO156" i="4"/>
  <c r="AO240" i="4"/>
  <c r="AO155" i="4"/>
  <c r="AO154" i="4"/>
  <c r="AO168" i="4"/>
  <c r="AO153" i="4"/>
  <c r="AO148" i="4"/>
  <c r="AO150" i="4"/>
  <c r="AO164" i="4"/>
  <c r="AO139" i="4"/>
  <c r="AO140" i="4"/>
  <c r="AO141" i="4"/>
  <c r="AO165" i="4"/>
  <c r="AO144" i="4"/>
  <c r="AO137" i="4"/>
  <c r="AO160" i="4"/>
  <c r="AO138" i="4"/>
  <c r="AO161" i="4"/>
  <c r="AO177" i="4"/>
  <c r="AO169" i="4"/>
  <c r="AO145" i="4"/>
  <c r="AO130" i="4"/>
  <c r="AO146" i="4"/>
  <c r="AO147" i="4"/>
  <c r="AO166" i="4"/>
  <c r="AO149" i="4"/>
  <c r="AO142" i="4"/>
  <c r="AO178" i="4"/>
  <c r="AO157" i="4"/>
  <c r="AO129" i="4"/>
  <c r="AO127" i="4"/>
  <c r="AO128" i="4"/>
  <c r="AO123" i="4"/>
  <c r="AO124" i="4"/>
  <c r="AO125" i="4"/>
  <c r="AO126" i="4"/>
  <c r="AO113" i="4"/>
  <c r="AO114" i="4"/>
  <c r="AO115" i="4"/>
  <c r="AO116" i="4"/>
  <c r="AO134" i="4"/>
  <c r="AO135" i="4"/>
  <c r="AO241" i="4"/>
  <c r="AO143" i="4"/>
  <c r="AO151" i="4"/>
  <c r="AO152" i="4"/>
  <c r="AO131" i="4"/>
  <c r="AO132" i="4"/>
  <c r="AO56" i="4"/>
  <c r="AO57" i="4"/>
  <c r="AO58" i="4"/>
  <c r="AO59" i="4"/>
  <c r="AO60" i="4"/>
  <c r="AO158" i="4"/>
  <c r="AO159" i="4"/>
  <c r="AO61" i="4"/>
  <c r="AO136" i="4"/>
  <c r="AO179" i="4"/>
  <c r="AO180" i="4"/>
  <c r="AO181" i="4"/>
  <c r="AO49" i="4"/>
  <c r="AO117" i="4"/>
  <c r="AO50" i="4"/>
  <c r="AO51" i="4"/>
  <c r="AO52" i="4"/>
  <c r="AO62" i="4"/>
  <c r="AO63" i="4"/>
  <c r="AO64" i="4"/>
  <c r="AO65" i="4"/>
  <c r="AO66" i="4"/>
  <c r="AO67" i="4"/>
  <c r="AO68" i="4"/>
  <c r="AO69" i="4"/>
  <c r="AO70" i="4"/>
  <c r="AO71" i="4"/>
  <c r="AO118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119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20" i="4"/>
  <c r="AO110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53" i="4"/>
  <c r="AO54" i="4"/>
  <c r="AO55" i="4"/>
  <c r="AO111" i="4"/>
  <c r="AO32" i="4"/>
  <c r="AO33" i="4"/>
  <c r="AO34" i="4"/>
  <c r="AO35" i="4"/>
  <c r="AO25" i="4"/>
  <c r="AO26" i="4"/>
  <c r="AO27" i="4"/>
  <c r="AO28" i="4"/>
  <c r="AO29" i="4"/>
  <c r="AO30" i="4"/>
  <c r="AO31" i="4"/>
  <c r="AO18" i="4"/>
  <c r="AO19" i="4"/>
  <c r="AO20" i="4"/>
  <c r="AO21" i="4"/>
  <c r="AO22" i="4"/>
  <c r="AO23" i="4"/>
  <c r="AO24" i="4"/>
  <c r="AO121" i="4"/>
  <c r="AO112" i="4"/>
  <c r="AO17" i="4"/>
  <c r="AO16" i="4"/>
  <c r="AO2" i="4"/>
  <c r="AO3" i="4"/>
  <c r="AO4" i="4"/>
  <c r="AO5" i="4"/>
  <c r="AO6" i="4"/>
  <c r="AO7" i="4"/>
  <c r="AO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F56B0C-BDEC-41EF-862F-B986AC03900E}" keepAlive="1" name="Consulta - Articulos" description="Conexión a la consulta 'Articulos' en el libro." type="5" refreshedVersion="0" background="1">
    <dbPr connection="Provider=Microsoft.Mashup.OleDb.1;Data Source=$Workbook$;Location=Articulos;Extended Properties=&quot;&quot;" command="SELECT * FROM [Articulos]"/>
  </connection>
  <connection id="2" xr16:uid="{A4B0EE27-6556-43B2-966C-72F7D8AF1B61}" keepAlive="1" name="Consulta - Pedidos_Pistachos" description="Conexión a la consulta 'Pedidos_Pistachos' en el libro." type="5" refreshedVersion="8" background="1" saveData="1">
    <dbPr connection="Provider=Microsoft.Mashup.OleDb.1;Data Source=$Workbook$;Location=Pedidos_Pistachos;Extended Properties=&quot;&quot;" command="SELECT * FROM [Pedidos_Pistachos]"/>
  </connection>
</connections>
</file>

<file path=xl/sharedStrings.xml><?xml version="1.0" encoding="utf-8"?>
<sst xmlns="http://schemas.openxmlformats.org/spreadsheetml/2006/main" count="7921" uniqueCount="974">
  <si>
    <t>Pedido</t>
  </si>
  <si>
    <t>Item</t>
  </si>
  <si>
    <t>Calidad</t>
  </si>
  <si>
    <t>RazonSocial</t>
  </si>
  <si>
    <t>CodArticulo</t>
  </si>
  <si>
    <t>Articulo</t>
  </si>
  <si>
    <t>CodColor</t>
  </si>
  <si>
    <t>Color</t>
  </si>
  <si>
    <t>CantidadPedida</t>
  </si>
  <si>
    <t>Precio</t>
  </si>
  <si>
    <t>CantidadPreparada</t>
  </si>
  <si>
    <t>CantidadRomaneada</t>
  </si>
  <si>
    <t>KgMtPreparados</t>
  </si>
  <si>
    <t>Estado</t>
  </si>
  <si>
    <t>Deposito</t>
  </si>
  <si>
    <t>Vtas_Fact_Empresa</t>
  </si>
  <si>
    <t>Vtas_Fact_Formulario</t>
  </si>
  <si>
    <t>Vtas_Fact_PDF</t>
  </si>
  <si>
    <t>Vtas_Remito_Formulario</t>
  </si>
  <si>
    <t>Vtas_Remito_PDF</t>
  </si>
  <si>
    <t>Rom_Mov_Tipo</t>
  </si>
  <si>
    <t>Rom_Mov_Numero</t>
  </si>
  <si>
    <t>Vtas_Fact_fecha</t>
  </si>
  <si>
    <t>Vendedor</t>
  </si>
  <si>
    <t>PD_Id</t>
  </si>
  <si>
    <t>Alta</t>
  </si>
  <si>
    <t>Asignado</t>
  </si>
  <si>
    <t>EnPr</t>
  </si>
  <si>
    <t>Prep</t>
  </si>
  <si>
    <t>ARom</t>
  </si>
  <si>
    <t>Roma</t>
  </si>
  <si>
    <t>Fac</t>
  </si>
  <si>
    <t>Lib</t>
  </si>
  <si>
    <t>Ent</t>
  </si>
  <si>
    <t>desh</t>
  </si>
  <si>
    <t>Con</t>
  </si>
  <si>
    <t>Baja</t>
  </si>
  <si>
    <t>Anul</t>
  </si>
  <si>
    <t>2</t>
  </si>
  <si>
    <t>SA</t>
  </si>
  <si>
    <t>1</t>
  </si>
  <si>
    <t>COA</t>
  </si>
  <si>
    <t xml:space="preserve">FAC </t>
  </si>
  <si>
    <t>HAVANNA S.A.</t>
  </si>
  <si>
    <t xml:space="preserve">PIST002   </t>
  </si>
  <si>
    <t xml:space="preserve">Pistacho Pelado Natural       </t>
  </si>
  <si>
    <t>Pistachos</t>
  </si>
  <si>
    <t xml:space="preserve">Pistachos                                         </t>
  </si>
  <si>
    <t xml:space="preserve">Pistachos_Garbi               </t>
  </si>
  <si>
    <t>FV A-00006-00002708</t>
  </si>
  <si>
    <t>FV A-00006-00002708.pdf</t>
  </si>
  <si>
    <t>RE R-00008-00003297</t>
  </si>
  <si>
    <t>RE R-00008-00003297.pdf</t>
  </si>
  <si>
    <t>Gab_Hernandez</t>
  </si>
  <si>
    <t>SAMAN</t>
  </si>
  <si>
    <t xml:space="preserve">PEPA      </t>
  </si>
  <si>
    <t xml:space="preserve">Pistacho Natural sin Cáscara  </t>
  </si>
  <si>
    <t>FV E-00007-00000077</t>
  </si>
  <si>
    <t>FV E-00007-00000077.pdf</t>
  </si>
  <si>
    <t>RE R-00008-00003300</t>
  </si>
  <si>
    <t>RE R-00008-00003300.pdf</t>
  </si>
  <si>
    <t xml:space="preserve">TOST      </t>
  </si>
  <si>
    <t>Pistacho Tost y Sal  c/ cascar</t>
  </si>
  <si>
    <t>FV E-00007-00000077(1).pdf</t>
  </si>
  <si>
    <t>SANTIAGO SELSER</t>
  </si>
  <si>
    <t>FV B-00090-00003661</t>
  </si>
  <si>
    <t>FV B-00090-00003661.pdf</t>
  </si>
  <si>
    <t>RE R-00008-00003308</t>
  </si>
  <si>
    <t>RE R-00008-00003308.pdf</t>
  </si>
  <si>
    <t>Fer_Cristoforo</t>
  </si>
  <si>
    <t>DENINNO ALBERTO LUIS</t>
  </si>
  <si>
    <t>FV A-00006-00002703</t>
  </si>
  <si>
    <t>FV A-00006-00002703.pdf</t>
  </si>
  <si>
    <t>RE R-00008-00003292</t>
  </si>
  <si>
    <t>RE R-00008-00003292.pdf</t>
  </si>
  <si>
    <t>BAZAN LEOPOLDO PEDRO</t>
  </si>
  <si>
    <t>FV A-00006-00002712</t>
  </si>
  <si>
    <t>FV A-00006-00002712(1).pdf</t>
  </si>
  <si>
    <t>RE R-00008-00003303</t>
  </si>
  <si>
    <t>RE R-00008-00003303.pdf</t>
  </si>
  <si>
    <t>CONTINO FRANCISCO ROBERTO</t>
  </si>
  <si>
    <t>FV A-00006-00002704</t>
  </si>
  <si>
    <t>FV A-00006-00002704.pdf</t>
  </si>
  <si>
    <t>RE R-00008-00003293</t>
  </si>
  <si>
    <t>RE R-00008-00003293.pdf</t>
  </si>
  <si>
    <t>FV A-00006-00002712.pdf</t>
  </si>
  <si>
    <t>FERNANDA CRISTOFORO</t>
  </si>
  <si>
    <t>FV A-00090-00029661</t>
  </si>
  <si>
    <t>FV A-00090-00029661.pdf</t>
  </si>
  <si>
    <t>RE R-00008-00003310</t>
  </si>
  <si>
    <t>RE R-00008-00003310.pdf</t>
  </si>
  <si>
    <t>GUZMAN PABLO DANIEL</t>
  </si>
  <si>
    <t>FV B-00090-00003698</t>
  </si>
  <si>
    <t>FV B-00090-00003698.pdf</t>
  </si>
  <si>
    <t>RE R-00000-00003316</t>
  </si>
  <si>
    <t>RE R-00000-00003316.pdf</t>
  </si>
  <si>
    <t>BOGS S.A.</t>
  </si>
  <si>
    <t>FV A-00006-00002707</t>
  </si>
  <si>
    <t>FV A-00006-00002707.pdf</t>
  </si>
  <si>
    <t>RE R-00008-00003296</t>
  </si>
  <si>
    <t>RE R-00008-00003296.pdf</t>
  </si>
  <si>
    <t>ESPADA MIRIAN</t>
  </si>
  <si>
    <t>FV A-00006-00002706</t>
  </si>
  <si>
    <t>FV A-00006-00002706.pdf</t>
  </si>
  <si>
    <t>RE R-00008-00003295</t>
  </si>
  <si>
    <t>RE R-00008-00003295.pdf</t>
  </si>
  <si>
    <t>FRUTOS SECOS DON LORENZO S.R.L</t>
  </si>
  <si>
    <t>FV A-00006-00002705</t>
  </si>
  <si>
    <t>FV A-00006-00002705.pdf</t>
  </si>
  <si>
    <t>RE R-00008-00003294</t>
  </si>
  <si>
    <t>RE R-00008-00003294.pdf</t>
  </si>
  <si>
    <t>GENEBRIER SEBASTIAN ALEJANDRO</t>
  </si>
  <si>
    <t>FV A-00090-00029799</t>
  </si>
  <si>
    <t>FV A-00090-00029799.pdf</t>
  </si>
  <si>
    <t>RE R-00008-00003318</t>
  </si>
  <si>
    <t>RE R-00008-00003318.pdf</t>
  </si>
  <si>
    <t>BLANCANUEZ SOCIEDAD ANONIMA</t>
  </si>
  <si>
    <t>FV A-00006-00002711</t>
  </si>
  <si>
    <t>FV A-00006-00002711.pdf</t>
  </si>
  <si>
    <t>RE R-00008-00003301</t>
  </si>
  <si>
    <t>RE R-00008-00003301.pdf</t>
  </si>
  <si>
    <t>AGRO ESPOSITO FIDEICOMISO</t>
  </si>
  <si>
    <t>FV A-00006-00002710</t>
  </si>
  <si>
    <t>FV A-00006-00002710.pdf</t>
  </si>
  <si>
    <t>RE R-00008-00003299</t>
  </si>
  <si>
    <t>RE R-00008-00003299.pdf</t>
  </si>
  <si>
    <t xml:space="preserve">PIST004   </t>
  </si>
  <si>
    <t xml:space="preserve">Pistacho Pelado Tostado       </t>
  </si>
  <si>
    <t>FV A-00006-00002758</t>
  </si>
  <si>
    <t>FV A-00006-00002758.pdf</t>
  </si>
  <si>
    <t>RE R-00008-00003376</t>
  </si>
  <si>
    <t>RE R-00008-00003376.pdf</t>
  </si>
  <si>
    <t>9 QUEBRACHOS SRL</t>
  </si>
  <si>
    <t>FV A-00006-00002686</t>
  </si>
  <si>
    <t>FV A-00006-00002686.pdf</t>
  </si>
  <si>
    <t>RE R-00008-00003260</t>
  </si>
  <si>
    <t>RE R-00008-00003260.pdf</t>
  </si>
  <si>
    <t>FV A-00006-00002686(1).pdf</t>
  </si>
  <si>
    <t>MANISAN S R L</t>
  </si>
  <si>
    <t>FV A-00006-00002716</t>
  </si>
  <si>
    <t>FV A-00006-00002716.pdf</t>
  </si>
  <si>
    <t>RE R-00008-00003319</t>
  </si>
  <si>
    <t>RE R-00008-00003319.pdf</t>
  </si>
  <si>
    <t>GRUPO NUTRICOM S.A.</t>
  </si>
  <si>
    <t>FV A-00006-00002716(1).pdf</t>
  </si>
  <si>
    <t>FV A-00090-00029820</t>
  </si>
  <si>
    <t>FV A-00090-00029820.pdf</t>
  </si>
  <si>
    <t>RE R-00008-00003330</t>
  </si>
  <si>
    <t>RE R-00008-00003330.pdf</t>
  </si>
  <si>
    <t>FV A-00006-00002719</t>
  </si>
  <si>
    <t>FV A-00006-00002719.pdf</t>
  </si>
  <si>
    <t>RE R-00008-00003322</t>
  </si>
  <si>
    <t>RE R-00008-00003322.pdf</t>
  </si>
  <si>
    <t>FV A-00006-00002720</t>
  </si>
  <si>
    <t>FV A-00006-00002720.pdf</t>
  </si>
  <si>
    <t>RE R-00008-00003323</t>
  </si>
  <si>
    <t>RE R-00008-00003323.pdf</t>
  </si>
  <si>
    <t>CURIPAN S.A</t>
  </si>
  <si>
    <t>FV A-00006-00002721</t>
  </si>
  <si>
    <t>FV A-00006-00002721.pdf</t>
  </si>
  <si>
    <t>RE R-00008-00003324</t>
  </si>
  <si>
    <t>RE R-00008-00003324.pdf</t>
  </si>
  <si>
    <t>HANDOZ S.A.</t>
  </si>
  <si>
    <t>FV A-00006-00002722</t>
  </si>
  <si>
    <t>FV A-00006-00002722.pdf</t>
  </si>
  <si>
    <t>RE R-00008-00003325</t>
  </si>
  <si>
    <t>RE R-00008-00003325.pdf</t>
  </si>
  <si>
    <t>PEHUENIA ALIMENTARIA S R L</t>
  </si>
  <si>
    <t>FV A-00006-00002723</t>
  </si>
  <si>
    <t>FV A-00006-00002723.pdf</t>
  </si>
  <si>
    <t>RE R-00008-00003326</t>
  </si>
  <si>
    <t>RE R-00008-00003326.pdf</t>
  </si>
  <si>
    <t>FV A-00090-00029850</t>
  </si>
  <si>
    <t>FV A-00090-00029850.pdf</t>
  </si>
  <si>
    <t>RE R-00008-00003340</t>
  </si>
  <si>
    <t>RE R-00008-00003340.pdf</t>
  </si>
  <si>
    <t>FV A-00090-00029940</t>
  </si>
  <si>
    <t>FV A-00090-00029940.pdf</t>
  </si>
  <si>
    <t>RE R-00008-00003350</t>
  </si>
  <si>
    <t>RE R-00008-00003350.pdf</t>
  </si>
  <si>
    <t>FV A-00090-00029866</t>
  </si>
  <si>
    <t>FV A-00090-00029866.pdf</t>
  </si>
  <si>
    <t>RE R-00008-00003344</t>
  </si>
  <si>
    <t>RE R-00008-00003344.pdf</t>
  </si>
  <si>
    <t>FABIAN FERNANDEZ</t>
  </si>
  <si>
    <t>FV B-00090-00003711</t>
  </si>
  <si>
    <t>FV B-00090-00003711.pdf</t>
  </si>
  <si>
    <t>RE R-00008-00003339</t>
  </si>
  <si>
    <t>RE R-00008-00003339.pdf</t>
  </si>
  <si>
    <t>APIDELTA SRL</t>
  </si>
  <si>
    <t>FV A-00006-00002725</t>
  </si>
  <si>
    <t>FV A-00006-00002725.pdf</t>
  </si>
  <si>
    <t>RE R-00008-00003328</t>
  </si>
  <si>
    <t>RE R-00008-00003328.pdf</t>
  </si>
  <si>
    <t>IL FORNITORI S.R.L.</t>
  </si>
  <si>
    <t>FV A-00006-00002726</t>
  </si>
  <si>
    <t>FV A-00006-00002726.pdf</t>
  </si>
  <si>
    <t>RE R-00008-00003329</t>
  </si>
  <si>
    <t>RE R-00008-00003329.pdf</t>
  </si>
  <si>
    <t>BAVOSI SOCIEDAD ANONIMA</t>
  </si>
  <si>
    <t>FV A-00006-00002729</t>
  </si>
  <si>
    <t>FV A-00006-00002729.pdf</t>
  </si>
  <si>
    <t>RE R-00008-00003333</t>
  </si>
  <si>
    <t>RE R-00008-00003333.pdf</t>
  </si>
  <si>
    <t>CHOCOLATE COLONIAL SA.</t>
  </si>
  <si>
    <t>FV A-00006-00002730</t>
  </si>
  <si>
    <t>FV A-00006-00002730.pdf</t>
  </si>
  <si>
    <t>RE R-00008-00003334</t>
  </si>
  <si>
    <t>RE R-00008-00003334.pdf</t>
  </si>
  <si>
    <t>FV A-00006-00002733</t>
  </si>
  <si>
    <t>FV A-00006-00002733.pdf</t>
  </si>
  <si>
    <t>RE R-00008-00000337</t>
  </si>
  <si>
    <t>RE R-00008-00000337.pdf</t>
  </si>
  <si>
    <t>FV A-00006-00002726(1).pdf</t>
  </si>
  <si>
    <t>FV A-00006-00002694</t>
  </si>
  <si>
    <t>FV A-00006-00002694.pdf</t>
  </si>
  <si>
    <t>RE R-00008-00003275</t>
  </si>
  <si>
    <t>RE R-00008-00003275.pdf</t>
  </si>
  <si>
    <t xml:space="preserve">PEPATOS   </t>
  </si>
  <si>
    <t xml:space="preserve">Pistacho Tostado sin Cáscara  </t>
  </si>
  <si>
    <t>FV A-00006-00002628</t>
  </si>
  <si>
    <t>FV A-00006-00002628(2).pdf</t>
  </si>
  <si>
    <t>RE R-00008-00003193</t>
  </si>
  <si>
    <t>RE R-00008-00003193.pdf</t>
  </si>
  <si>
    <t>FV A-00006-00002628(1).pdf</t>
  </si>
  <si>
    <t>FV A-00006-00002628.pdf</t>
  </si>
  <si>
    <t>FV A-00006-00002750</t>
  </si>
  <si>
    <t>FV A-00006-00002750.pdf</t>
  </si>
  <si>
    <t>RE R-00008-00003366</t>
  </si>
  <si>
    <t>RE R-00008-00003366.pdf</t>
  </si>
  <si>
    <t>FV A-00006-00002755</t>
  </si>
  <si>
    <t>FV A-00006-00002755(1).pdf</t>
  </si>
  <si>
    <t>RE R-00008-00003373</t>
  </si>
  <si>
    <t>RE R-00008-00003373.pdf</t>
  </si>
  <si>
    <t>FV A-00006-00002741</t>
  </si>
  <si>
    <t>FV A-00006-00002741.pdf</t>
  </si>
  <si>
    <t>RE R-00008-00003356</t>
  </si>
  <si>
    <t>RE R-00008-00003356.pdf</t>
  </si>
  <si>
    <t>ENVASES DORE SRL</t>
  </si>
  <si>
    <t>FV A-00006-00002742</t>
  </si>
  <si>
    <t>FV A-00006-00002742.pdf</t>
  </si>
  <si>
    <t>RE R-00008-00003358</t>
  </si>
  <si>
    <t>RE R-00008-00003358.pdf</t>
  </si>
  <si>
    <t>FV A-00090-00030102</t>
  </si>
  <si>
    <t>FV A-00090-00030102.pdf</t>
  </si>
  <si>
    <t>RE R-00008-00003368</t>
  </si>
  <si>
    <t>RE R-00008-00003368.pdf</t>
  </si>
  <si>
    <t>MELAR S.A</t>
  </si>
  <si>
    <t>FV A-00006-00002743</t>
  </si>
  <si>
    <t>FV A-00006-00002743.pdf</t>
  </si>
  <si>
    <t>RE R-00008-00003359</t>
  </si>
  <si>
    <t>RE R-00008-00003359.pdf</t>
  </si>
  <si>
    <t>LODISER SA</t>
  </si>
  <si>
    <t>FV A-00006-00002745</t>
  </si>
  <si>
    <t>FV A-00006-00002745.pdf</t>
  </si>
  <si>
    <t>RE R-00008-00003361</t>
  </si>
  <si>
    <t>RE R-00008-00003361.pdf</t>
  </si>
  <si>
    <t>LOS TRES ALGARROBOS S.A.</t>
  </si>
  <si>
    <t>FV A-00006-00002746</t>
  </si>
  <si>
    <t>FV A-00006-00002746.pdf</t>
  </si>
  <si>
    <t>RE R-00008-00003362</t>
  </si>
  <si>
    <t>RE R-00008-00003362.pdf</t>
  </si>
  <si>
    <t>SPAGNOLI RICARDO JUAN</t>
  </si>
  <si>
    <t>FV A-00006-00002747</t>
  </si>
  <si>
    <t>FV A-00006-00002747.pdf</t>
  </si>
  <si>
    <t>RE R-00008-00003363</t>
  </si>
  <si>
    <t>RE R-00008-00003363.pdf</t>
  </si>
  <si>
    <t>RAMDEC S R L</t>
  </si>
  <si>
    <t>FV A-00006-00002748</t>
  </si>
  <si>
    <t>FV A-00006-00002748.pdf</t>
  </si>
  <si>
    <t>RE R-00008-00003364</t>
  </si>
  <si>
    <t>RE R-00008-00003364.pdf</t>
  </si>
  <si>
    <t>VALLE DEL SEMBRADOR S. A. S</t>
  </si>
  <si>
    <t>FV A-00006-00002751</t>
  </si>
  <si>
    <t>FV A-00006-00002751.pdf</t>
  </si>
  <si>
    <t>RE R-00008-00003367</t>
  </si>
  <si>
    <t>RE R-00008-00003367.pdf</t>
  </si>
  <si>
    <t>LG DISTRIBUIDORA DEL SUDESTE MDP</t>
  </si>
  <si>
    <t>FV B-00090-00003712</t>
  </si>
  <si>
    <t>FV B-00090-00003712.pdf</t>
  </si>
  <si>
    <t>RE R-00008-00003347</t>
  </si>
  <si>
    <t>RE R-00008-00003347.pdf</t>
  </si>
  <si>
    <t>COMERCIAL ACONCAGUA S A</t>
  </si>
  <si>
    <t>FV A-00006-00002734</t>
  </si>
  <si>
    <t>FV A-00006-00002734.pdf</t>
  </si>
  <si>
    <t>RE R-00008-00003342</t>
  </si>
  <si>
    <t>RE R-00008-00003342.pdf</t>
  </si>
  <si>
    <t>FV A-00006-00002683</t>
  </si>
  <si>
    <t>FV A-00006-00002683.pdf</t>
  </si>
  <si>
    <t>RE R-00008-00003257</t>
  </si>
  <si>
    <t>RE R-00008-00003257.pdf</t>
  </si>
  <si>
    <t>FV A-00006-00002679</t>
  </si>
  <si>
    <t>FV A-00006-00002679.pdf</t>
  </si>
  <si>
    <t>RE R-00008-00003252</t>
  </si>
  <si>
    <t>RE R-00008-00003252.pdf</t>
  </si>
  <si>
    <t>BELLONI LILIAN BEATRIZ</t>
  </si>
  <si>
    <t>FV A-00006-00002654</t>
  </si>
  <si>
    <t>FV A-00006-00002654.pdf</t>
  </si>
  <si>
    <t>RE R-00008-00003226</t>
  </si>
  <si>
    <t>RE R-00008-00003226.pdf</t>
  </si>
  <si>
    <t>FV A-00006-00002685</t>
  </si>
  <si>
    <t>FV A-00006-00002685.pdf</t>
  </si>
  <si>
    <t>RE R-00008-00003259</t>
  </si>
  <si>
    <t>RE R-00008-00003259.pdf</t>
  </si>
  <si>
    <t>FV A-00006-00002702</t>
  </si>
  <si>
    <t>FV A-00006-00002702.pdf</t>
  </si>
  <si>
    <t>RE R-00008-00003286</t>
  </si>
  <si>
    <t>RE R-00008-00003286.pdf</t>
  </si>
  <si>
    <t>FV A-00006-00002693</t>
  </si>
  <si>
    <t>FV A-00006-00002693.pdf</t>
  </si>
  <si>
    <t>RE R-00008-00033274</t>
  </si>
  <si>
    <t>RE R-00008-00033274.pdf</t>
  </si>
  <si>
    <t>FV A-00006-00002653</t>
  </si>
  <si>
    <t>FV A-00006-00002653.pdf</t>
  </si>
  <si>
    <t>RE R-00008-00003225</t>
  </si>
  <si>
    <t>RE R-00008-00003225.pdf</t>
  </si>
  <si>
    <t>DANIEL GUZMAN</t>
  </si>
  <si>
    <t>FV B-00090-00003493</t>
  </si>
  <si>
    <t>FV B-00090-00003493.pdf</t>
  </si>
  <si>
    <t>RE R-00008-00003211</t>
  </si>
  <si>
    <t>RE R-00008-00003211.pdf</t>
  </si>
  <si>
    <t>FV B-00090-00003630</t>
  </si>
  <si>
    <t>FV B-00090-00003630.pdf</t>
  </si>
  <si>
    <t>RE R-00008-00003264</t>
  </si>
  <si>
    <t>RE R-00008-00003264.pdf</t>
  </si>
  <si>
    <t>FV A-00006-00002634</t>
  </si>
  <si>
    <t>FV A-00006-00002634(1).pdf</t>
  </si>
  <si>
    <t>RE R-00008-00003201</t>
  </si>
  <si>
    <t>RE R-00008-00003201.pdf</t>
  </si>
  <si>
    <t>FV A-00006-00002634.pdf</t>
  </si>
  <si>
    <t>DIEGO ARIEL RODRIGUEZ</t>
  </si>
  <si>
    <t>FV B-00090-00003645</t>
  </si>
  <si>
    <t>FV B-00090-00003645(2).pdf</t>
  </si>
  <si>
    <t>RE R-00008-00003268</t>
  </si>
  <si>
    <t>RE R-00008-00003268.pdf</t>
  </si>
  <si>
    <t>FV B-00090-00003645(1).pdf</t>
  </si>
  <si>
    <t>FV A-00006-00002644</t>
  </si>
  <si>
    <t>FV A-00006-00002644.pdf</t>
  </si>
  <si>
    <t>RE R-00008-00003216</t>
  </si>
  <si>
    <t>RE R-00008-00003216.pdf</t>
  </si>
  <si>
    <t>FV A-00090-00029398</t>
  </si>
  <si>
    <t>FV A-00090-00029398.pdf</t>
  </si>
  <si>
    <t>RE R-00008-00003263</t>
  </si>
  <si>
    <t>RE R-00008-00003263.pdf</t>
  </si>
  <si>
    <t>FV A-00090-00029406</t>
  </si>
  <si>
    <t>FV A-00090-00029406.pdf</t>
  </si>
  <si>
    <t>FV A-00006-00002684</t>
  </si>
  <si>
    <t>FV A-00006-00002684.pdf</t>
  </si>
  <si>
    <t>RE R-00008-00003258</t>
  </si>
  <si>
    <t>RE R-00008-00003258.pdf</t>
  </si>
  <si>
    <t>KEYMAR SRL</t>
  </si>
  <si>
    <t>FV A-00006-00002652</t>
  </si>
  <si>
    <t>FV A-00006-00002652.pdf</t>
  </si>
  <si>
    <t>RE R-00008-00003224</t>
  </si>
  <si>
    <t>RE R-00008-00003224.pdf</t>
  </si>
  <si>
    <t>LASCAR PEDRO RAFAEL</t>
  </si>
  <si>
    <t>FV A-00006-00002677</t>
  </si>
  <si>
    <t>FV A-00006-00002677.pdf</t>
  </si>
  <si>
    <t>RE R-00008-00003250</t>
  </si>
  <si>
    <t>RE R-00008-00003250.pdf</t>
  </si>
  <si>
    <t>FV A-00006-00002687</t>
  </si>
  <si>
    <t>FV A-00006-00002687.pdf</t>
  </si>
  <si>
    <t>RE R-00008-00003265</t>
  </si>
  <si>
    <t>RE R-00008-00003265.pdf</t>
  </si>
  <si>
    <t>FV A-00006-00002658</t>
  </si>
  <si>
    <t>FV A-00006-00002658.pdf</t>
  </si>
  <si>
    <t>RE R-00008-00003230</t>
  </si>
  <si>
    <t>RE R-00008-00003230.pdf</t>
  </si>
  <si>
    <t>Martin Quintar</t>
  </si>
  <si>
    <t>FV B-00090-00003656</t>
  </si>
  <si>
    <t>FV B-00090-00003656.pdf</t>
  </si>
  <si>
    <t>RE R-00008-00003289</t>
  </si>
  <si>
    <t>RE R-00008-00003289.pdf</t>
  </si>
  <si>
    <t>FV A-00006-00002691</t>
  </si>
  <si>
    <t>FV A-00006-00002691.pdf</t>
  </si>
  <si>
    <t>RE R-00008-00003272</t>
  </si>
  <si>
    <t>RE R-00008-00003272.pdf</t>
  </si>
  <si>
    <t>MELLINO NOGUEZ CHRISTIAN MARCELO</t>
  </si>
  <si>
    <t>FV A-00090-00029397</t>
  </si>
  <si>
    <t>FV A-00090-00029397.pdf</t>
  </si>
  <si>
    <t>RE R-00008-00003262</t>
  </si>
  <si>
    <t>RE R-00008-00003262.pdf</t>
  </si>
  <si>
    <t>MUNDI FRUT S.R.L.</t>
  </si>
  <si>
    <t>FV A-00006-00002655</t>
  </si>
  <si>
    <t>FV A-00006-00002655.pdf</t>
  </si>
  <si>
    <t>RE R-00008-00003227</t>
  </si>
  <si>
    <t>RE R-00008-00003227.pdf</t>
  </si>
  <si>
    <t>NUTRIVITA S.A.</t>
  </si>
  <si>
    <t>FV A-00006-00002605</t>
  </si>
  <si>
    <t>FV A-00006-00002605.pdf</t>
  </si>
  <si>
    <t>RE R-00008-00003170</t>
  </si>
  <si>
    <t>RE R-00008-00003170.pdf</t>
  </si>
  <si>
    <t>FV B-00090-00003645.pdf</t>
  </si>
  <si>
    <t>FV A-00006-00002674</t>
  </si>
  <si>
    <t>FV A-00006-00002674.pdf</t>
  </si>
  <si>
    <t>RE R-00008-00003247</t>
  </si>
  <si>
    <t>RE R-00008-00003247.pdf</t>
  </si>
  <si>
    <t>QNM S.R.L</t>
  </si>
  <si>
    <t>FV A-00006-00002622</t>
  </si>
  <si>
    <t>FV A-00006-00002622.pdf</t>
  </si>
  <si>
    <t>RE R-00008-00003200</t>
  </si>
  <si>
    <t>RE R-00008-00003200.pdf</t>
  </si>
  <si>
    <t>FV B-00006-00000279</t>
  </si>
  <si>
    <t>FV B-00006-00000279(1).pdf</t>
  </si>
  <si>
    <t>RE R-00008-00003354</t>
  </si>
  <si>
    <t>RE R-00008-00003354.pdf</t>
  </si>
  <si>
    <t>FV B-00006-00000279.pdf</t>
  </si>
  <si>
    <t>TRONADOR SOCIEDAD ANONIMA COMERCIAL</t>
  </si>
  <si>
    <t>FV A-00006-00002676</t>
  </si>
  <si>
    <t>FV A-00006-00002676.pdf</t>
  </si>
  <si>
    <t>RE R-00008-00003249</t>
  </si>
  <si>
    <t>RE R-00008-00003249.pdf</t>
  </si>
  <si>
    <t>FV A-00006-00002681</t>
  </si>
  <si>
    <t>FV A-00006-00002681.pdf</t>
  </si>
  <si>
    <t>RE R-00008-00003255</t>
  </si>
  <si>
    <t>RE R-00008-00003255.pdf</t>
  </si>
  <si>
    <t>FV A-00090-00029550</t>
  </si>
  <si>
    <t>FV A-00090-00029550.pdf</t>
  </si>
  <si>
    <t>RE R-00008-00003283</t>
  </si>
  <si>
    <t>RE R-00008-00003283.pdf</t>
  </si>
  <si>
    <t>FV A-00006-00002695</t>
  </si>
  <si>
    <t>FV A-00006-00002695.pdf</t>
  </si>
  <si>
    <t>RE R-00008-00003276</t>
  </si>
  <si>
    <t>RE R-00008-00003276.pdf</t>
  </si>
  <si>
    <t>WIKIKU S. A. U.</t>
  </si>
  <si>
    <t>FV A-00006-00002690</t>
  </si>
  <si>
    <t>FV A-00006-00002690.pdf</t>
  </si>
  <si>
    <t>RE R-00008-00003271</t>
  </si>
  <si>
    <t>RE R-00008-00003271.pdf</t>
  </si>
  <si>
    <t>SANERGIA SRL</t>
  </si>
  <si>
    <t>FV A-00006-00002659</t>
  </si>
  <si>
    <t>FV A-00006-00002659.pdf</t>
  </si>
  <si>
    <t>RE R-00008-00003231</t>
  </si>
  <si>
    <t>RE R-00008-00003231.pdf</t>
  </si>
  <si>
    <t>RONI FRIDMAN</t>
  </si>
  <si>
    <t>FV B-00090-00003640</t>
  </si>
  <si>
    <t>FV B-00090-00003640.pdf</t>
  </si>
  <si>
    <t>RE R-00008-00003287</t>
  </si>
  <si>
    <t>RE R-00008-00003287.pdf</t>
  </si>
  <si>
    <t>RIATOS NICOLAS</t>
  </si>
  <si>
    <t>FV A-00006-00002645</t>
  </si>
  <si>
    <t>FV A-00006-00002645.pdf</t>
  </si>
  <si>
    <t>RE R-00008-00003217</t>
  </si>
  <si>
    <t>RE R-00008-00003217.pdf</t>
  </si>
  <si>
    <t>PUERTO GOURMET SRL</t>
  </si>
  <si>
    <t>FV A-00006-00002699</t>
  </si>
  <si>
    <t>FV A-00006-00002699.pdf</t>
  </si>
  <si>
    <t>RE R-00008-00003280</t>
  </si>
  <si>
    <t>RE R-00008-00003280.pdf</t>
  </si>
  <si>
    <t>PALETIZADORA M&amp;F S.A.</t>
  </si>
  <si>
    <t>FV A-00006-00002656</t>
  </si>
  <si>
    <t>FV A-00006-00002656.pdf</t>
  </si>
  <si>
    <t>RE R-00008-00003228</t>
  </si>
  <si>
    <t>RE R-00008-00003228.pdf</t>
  </si>
  <si>
    <t>MANAGEMENT SUR SRL</t>
  </si>
  <si>
    <t>FV A-00006-00002701</t>
  </si>
  <si>
    <t>FV A-00006-00002701.pdf</t>
  </si>
  <si>
    <t>RE R-00008-00003284</t>
  </si>
  <si>
    <t>RE R-00008-00003284.pdf</t>
  </si>
  <si>
    <t>KE PRODUCTO S.R.L</t>
  </si>
  <si>
    <t>FV A-00006-00002668</t>
  </si>
  <si>
    <t>FV A-00006-00002668.pdf</t>
  </si>
  <si>
    <t>RE R-00008-00003240</t>
  </si>
  <si>
    <t>RE R-00008-00003240.pdf</t>
  </si>
  <si>
    <t>FV A-00006-00002627</t>
  </si>
  <si>
    <t>FV A-00006-00002627.pdf</t>
  </si>
  <si>
    <t>RE R-00008-00003192</t>
  </si>
  <si>
    <t>RE R-00008-00003192.pdf</t>
  </si>
  <si>
    <t>HIDALGO ROLANDO NEMESIO</t>
  </si>
  <si>
    <t>FV A-00006-00002661</t>
  </si>
  <si>
    <t>FV A-00006-00002661.pdf</t>
  </si>
  <si>
    <t>RE R-00008-00003233</t>
  </si>
  <si>
    <t>RE R-00008-00003233.pdf</t>
  </si>
  <si>
    <t>GRASS JOHANN FRANCISCO</t>
  </si>
  <si>
    <t>FV A-00006-00002689</t>
  </si>
  <si>
    <t>FV A-00006-00002689.pdf</t>
  </si>
  <si>
    <t>RE R-00008-00003270</t>
  </si>
  <si>
    <t>RE R-00008-00003270.pdf</t>
  </si>
  <si>
    <t>Ignacio García</t>
  </si>
  <si>
    <t>FV B-00090-00003641</t>
  </si>
  <si>
    <t>FV B-00090-00003641.pdf</t>
  </si>
  <si>
    <t>RE R-00008-00003282</t>
  </si>
  <si>
    <t>RE R-00008-00003282.pdf</t>
  </si>
  <si>
    <t>FEDYNIUK VANESA TAMARA</t>
  </si>
  <si>
    <t>FV A-00006-00002670</t>
  </si>
  <si>
    <t>FV A-00006-00002670.pdf</t>
  </si>
  <si>
    <t>RE R-00008-00003242</t>
  </si>
  <si>
    <t>RE R-00008-00003242.pdf</t>
  </si>
  <si>
    <t>DISTRIBUIDORA AMBAR SAS</t>
  </si>
  <si>
    <t>FV A-00006-00002667</t>
  </si>
  <si>
    <t>FV A-00006-00002667.pdf</t>
  </si>
  <si>
    <t>RE R-00008-00003229</t>
  </si>
  <si>
    <t>RE R-00008-00003229.pdf</t>
  </si>
  <si>
    <t>CURA ELIZABETH VANESA</t>
  </si>
  <si>
    <t>FV A-00006-00002669</t>
  </si>
  <si>
    <t>FV A-00006-00002669.pdf</t>
  </si>
  <si>
    <t>RE R-00008-00003241</t>
  </si>
  <si>
    <t>RE R-00008-00003241.pdf</t>
  </si>
  <si>
    <t>BETFOOD SRL</t>
  </si>
  <si>
    <t>FV A-00006-00002698</t>
  </si>
  <si>
    <t>FV A-00006-00002698.pdf</t>
  </si>
  <si>
    <t>RE R-00008-00003279</t>
  </si>
  <si>
    <t>RE R-00008-00003279.pdf</t>
  </si>
  <si>
    <t>AVERNA JAVIER RODRIGO HUMBERTO</t>
  </si>
  <si>
    <t>FV A-00006-00002697</t>
  </si>
  <si>
    <t>FV A-00006-00002697.pdf</t>
  </si>
  <si>
    <t>RE R-00008-00003278</t>
  </si>
  <si>
    <t>RE R-00008-00003278.pdf</t>
  </si>
  <si>
    <t>ALTOS DE SINGUIL S.R.L</t>
  </si>
  <si>
    <t>FV A-00006-00002696</t>
  </si>
  <si>
    <t>FV A-00006-00002696.pdf</t>
  </si>
  <si>
    <t>RE R-00008-00003277</t>
  </si>
  <si>
    <t>RE R-00008-00003277.pdf</t>
  </si>
  <si>
    <t>LEONARDO DANIEL JEIFETZ</t>
  </si>
  <si>
    <t>FV A-00060-00002688</t>
  </si>
  <si>
    <t>FV A-00060-00002688.pdf</t>
  </si>
  <si>
    <t>RE R-00008-00003266</t>
  </si>
  <si>
    <t>RE R-00008-00003266.pdf</t>
  </si>
  <si>
    <t>FV A-00060-00002688(1).pdf</t>
  </si>
  <si>
    <t>FV A-00060-00002688(2).pdf</t>
  </si>
  <si>
    <t>FV A-00006-00002754</t>
  </si>
  <si>
    <t>FV A-00006-00002754.pdf</t>
  </si>
  <si>
    <t>RE R-00008-00003371</t>
  </si>
  <si>
    <t>RE R-00008-00003371.pdf</t>
  </si>
  <si>
    <t>FV A-00006-00002753</t>
  </si>
  <si>
    <t>FV A-00006-00002753.pdf</t>
  </si>
  <si>
    <t>RE R-00008-00003370</t>
  </si>
  <si>
    <t>RE R-00008-00003370.pdf</t>
  </si>
  <si>
    <t>FV A-00006-00002752</t>
  </si>
  <si>
    <t>FV A-00006-00002752.pdf</t>
  </si>
  <si>
    <t>RE R-00008-00003369</t>
  </si>
  <si>
    <t>RE R-00008-00003369.pdf</t>
  </si>
  <si>
    <t>FV A-00006-00002779</t>
  </si>
  <si>
    <t>FV A-00006-00002779.pdf</t>
  </si>
  <si>
    <t>RE R-00008-00003403</t>
  </si>
  <si>
    <t>RE R-00008-00003403.pdf</t>
  </si>
  <si>
    <t>FV B-00090-00003766</t>
  </si>
  <si>
    <t>FV B-00090-00003766(1).pdf</t>
  </si>
  <si>
    <t>RE R-00008-00003372</t>
  </si>
  <si>
    <t>RE R-00008-00003372.pdf</t>
  </si>
  <si>
    <t>FV B-00090-00003766.pdf</t>
  </si>
  <si>
    <t>FV A-00006-00002755.pdf</t>
  </si>
  <si>
    <t>FV A-00090-00030298</t>
  </si>
  <si>
    <t>FV A-00090-00030298(1).pdf</t>
  </si>
  <si>
    <t>RE R-00008-00003394</t>
  </si>
  <si>
    <t>RE R-00008-00003394.pdf</t>
  </si>
  <si>
    <t>FV A-00090-00030298(2).pdf</t>
  </si>
  <si>
    <t>RE R-00008-00003395</t>
  </si>
  <si>
    <t>RE R-00008-00003395.pdf</t>
  </si>
  <si>
    <t>FV A-00006-00002656(1).pdf</t>
  </si>
  <si>
    <t>FV A-00006-00002778</t>
  </si>
  <si>
    <t>FV A-00006-00002778.pdf</t>
  </si>
  <si>
    <t>RE R-00008-00003402</t>
  </si>
  <si>
    <t>RE R-00008-00003402.pdf</t>
  </si>
  <si>
    <t>FV A-00006-00002777</t>
  </si>
  <si>
    <t>FV A-00006-00002777.pdf</t>
  </si>
  <si>
    <t>RE R-00008-00003401</t>
  </si>
  <si>
    <t>RE R-00008-00003401.pdf</t>
  </si>
  <si>
    <t>FV A-00006-00002773</t>
  </si>
  <si>
    <t>FV A-00006-00002773.pdf</t>
  </si>
  <si>
    <t>RE R-00008-00003396</t>
  </si>
  <si>
    <t>RE R-00008-00003396.pdf</t>
  </si>
  <si>
    <t>FV A-00006-00002761</t>
  </si>
  <si>
    <t>FV A-00006-00002761.pdf</t>
  </si>
  <si>
    <t>RE R-00008-00003379</t>
  </si>
  <si>
    <t>RE R-00008-00003379.pdf</t>
  </si>
  <si>
    <t>FV A-00006-00002760</t>
  </si>
  <si>
    <t>FV A-00006-00002760.pdf</t>
  </si>
  <si>
    <t>RE R-00008-00003378</t>
  </si>
  <si>
    <t>RE R-00008-00003378.pdf</t>
  </si>
  <si>
    <t>FV A-00006-00002762</t>
  </si>
  <si>
    <t>FV A-00006-00002762.pdf</t>
  </si>
  <si>
    <t>RE R-00008-00003380</t>
  </si>
  <si>
    <t>RE R-00008-00003380.pdf</t>
  </si>
  <si>
    <t>FV A-00006-00002694(1).pdf</t>
  </si>
  <si>
    <t>Lilian Beatriz Belloni</t>
  </si>
  <si>
    <t>FV A-00006-00002764</t>
  </si>
  <si>
    <t>FV A-00006-00002764.pdf</t>
  </si>
  <si>
    <t>RE R-00008-00003382</t>
  </si>
  <si>
    <t>RE R-00008-00003382.pdf</t>
  </si>
  <si>
    <t>FV A-00006-00002764(1).pdf</t>
  </si>
  <si>
    <t>CRANC S.R.L.</t>
  </si>
  <si>
    <t>FV A-00006-00003383</t>
  </si>
  <si>
    <t>FV A-00006-00003383.pdf</t>
  </si>
  <si>
    <t>RE R-00008-00003383</t>
  </si>
  <si>
    <t>RE R-00008-00003383.pdf</t>
  </si>
  <si>
    <t>FV A-00090-00030176</t>
  </si>
  <si>
    <t>FV A-00090-00030176.pdf</t>
  </si>
  <si>
    <t>RE R-00008-00003384</t>
  </si>
  <si>
    <t>RE R-00008-00003384.pdf</t>
  </si>
  <si>
    <t>FV A-00006-00002766</t>
  </si>
  <si>
    <t>FV A-00006-00002766(1).pdf</t>
  </si>
  <si>
    <t>RE R-00008-00003385</t>
  </si>
  <si>
    <t>RE R-00008-00003385.pdf</t>
  </si>
  <si>
    <t xml:space="preserve">PIST001   </t>
  </si>
  <si>
    <t xml:space="preserve">Pistacho C/Cascara Tost y Sal </t>
  </si>
  <si>
    <t>FV A-00006-00002766.pdf</t>
  </si>
  <si>
    <t>DAVEFOOD SA</t>
  </si>
  <si>
    <t>FV A-00006-00002768</t>
  </si>
  <si>
    <t>FV A-00006-00002768.pdf</t>
  </si>
  <si>
    <t>RE R-00008-00003387</t>
  </si>
  <si>
    <t>RE R-00008-00003387.pdf</t>
  </si>
  <si>
    <t xml:space="preserve">PIST005   </t>
  </si>
  <si>
    <t>Pistacho Pelado Tost. No Enter</t>
  </si>
  <si>
    <t>COSENZA GELATTO SA</t>
  </si>
  <si>
    <t xml:space="preserve">PIST003   </t>
  </si>
  <si>
    <t xml:space="preserve">Pistacho Natural No Entero    </t>
  </si>
  <si>
    <t>BRIGEL SRL</t>
  </si>
  <si>
    <t>FV A-00090-00030298.pdf</t>
  </si>
  <si>
    <t>FV A-00006-00002781</t>
  </si>
  <si>
    <t>FV A-00006-00002781.pdf</t>
  </si>
  <si>
    <t>RE R-00008-00003407</t>
  </si>
  <si>
    <t>RE R-00008-00003407.pdf</t>
  </si>
  <si>
    <t>FV A-00090-00030356</t>
  </si>
  <si>
    <t>FV A-00090-00030356.pdf</t>
  </si>
  <si>
    <t>RE R-00008-00003408</t>
  </si>
  <si>
    <t>RE R-00008-00003408.pdf</t>
  </si>
  <si>
    <t>LOGICA NATURAL S.R.L.</t>
  </si>
  <si>
    <t>GOLOSINAS O.E.N.P. S.A.</t>
  </si>
  <si>
    <t xml:space="preserve">Pistachos </t>
  </si>
  <si>
    <t>Pistacho Pel. Nat. Californian</t>
  </si>
  <si>
    <t>Articulos.Familia</t>
  </si>
  <si>
    <t>LACASSAGNE JORGELINA LAURA</t>
  </si>
  <si>
    <t xml:space="preserve">Pistachos_Murillo             </t>
  </si>
  <si>
    <t xml:space="preserve">PIST007   </t>
  </si>
  <si>
    <t>FV A-00006-00002782</t>
  </si>
  <si>
    <t>FV A-00006-00002782.pdf</t>
  </si>
  <si>
    <t>RE R-00008-00003409</t>
  </si>
  <si>
    <t>RE R-00008-00003409.pdf</t>
  </si>
  <si>
    <t>THIONIS S.R.L.</t>
  </si>
  <si>
    <t>FV A-00006-00002769</t>
  </si>
  <si>
    <t>FV A-00006-00002769.pdf</t>
  </si>
  <si>
    <t>RE R-00008-00003389</t>
  </si>
  <si>
    <t>RE R-00008-00003389.pdf</t>
  </si>
  <si>
    <t>DUMONT Y ZAPATA</t>
  </si>
  <si>
    <t>FV A-00006-00002784</t>
  </si>
  <si>
    <t>FV A-00006-00002784.pdf</t>
  </si>
  <si>
    <t>RE R-00008-00003411</t>
  </si>
  <si>
    <t>RE R-00008-00003411.pdf</t>
  </si>
  <si>
    <t>FV A-00006-00002783</t>
  </si>
  <si>
    <t>FV A-00006-00002783.pdf</t>
  </si>
  <si>
    <t>RE R-00008-00003410</t>
  </si>
  <si>
    <t>RE R-00008-00003410.pdf</t>
  </si>
  <si>
    <t>GIANDUIA S.R.L</t>
  </si>
  <si>
    <t>FV A-00006-00002788</t>
  </si>
  <si>
    <t>FV A-00006-00002788.pdf</t>
  </si>
  <si>
    <t>RE R-00008-00003425</t>
  </si>
  <si>
    <t>RE R-00008-00003425.pdf</t>
  </si>
  <si>
    <t>FV A-00006-00002790</t>
  </si>
  <si>
    <t>FV A-00006-00002790.pdf</t>
  </si>
  <si>
    <t>RE R-00008-00003427</t>
  </si>
  <si>
    <t>RE R-00008-00003427.pdf</t>
  </si>
  <si>
    <t>FV A-00006-00002793</t>
  </si>
  <si>
    <t>FV A-00006-00002793.pdf</t>
  </si>
  <si>
    <t>RE R-00008-00003430</t>
  </si>
  <si>
    <t>RE R-00008-00003430.pdf</t>
  </si>
  <si>
    <t>FV A-00006-00002789</t>
  </si>
  <si>
    <t>FV A-00006-00002789.pdf</t>
  </si>
  <si>
    <t>RE R-00008-00003426</t>
  </si>
  <si>
    <t>RE R-00008-00003426.pdf</t>
  </si>
  <si>
    <t>FV A-00006-00002791</t>
  </si>
  <si>
    <t>FV A-00006-00002791.pdf</t>
  </si>
  <si>
    <t>RE R-00008-00003428</t>
  </si>
  <si>
    <t>RE R-00008-00003428.pdf</t>
  </si>
  <si>
    <t>FV A-00006-00002796</t>
  </si>
  <si>
    <t>FV A-00006-00002796.pdf</t>
  </si>
  <si>
    <t>RE R-00008-00003434</t>
  </si>
  <si>
    <t>RE R-00008-00003434.pdf</t>
  </si>
  <si>
    <t>FV A-00006-00002797</t>
  </si>
  <si>
    <t>FV A-00006-00002797.pdf</t>
  </si>
  <si>
    <t>RE R-00008-00003435</t>
  </si>
  <si>
    <t>RE R-00008-00003435.pdf</t>
  </si>
  <si>
    <t>FV A-00006-00002795</t>
  </si>
  <si>
    <t>FV A-00006-00002795.pdf</t>
  </si>
  <si>
    <t>RE R-00008-00003432</t>
  </si>
  <si>
    <t>RE R-00008-00003432.pdf</t>
  </si>
  <si>
    <t>FV A-00006-00002798</t>
  </si>
  <si>
    <t>FV A-00006-00002798(1).pdf</t>
  </si>
  <si>
    <t>RE R-00008-00003436</t>
  </si>
  <si>
    <t>RE R-00008-00003436.pdf</t>
  </si>
  <si>
    <t>FV A-00006-00002798.pdf</t>
  </si>
  <si>
    <t>Cajas</t>
  </si>
  <si>
    <t>Bolsas</t>
  </si>
  <si>
    <t>Etiquetas de fila</t>
  </si>
  <si>
    <t>Total general</t>
  </si>
  <si>
    <t>Suma de CantidadPedida</t>
  </si>
  <si>
    <t>FV A-00006-00002799</t>
  </si>
  <si>
    <t>FV A-00006-00002799.pdf</t>
  </si>
  <si>
    <t>RE R-00008-00003438</t>
  </si>
  <si>
    <t>RE R-00008-00003438.pdf</t>
  </si>
  <si>
    <t>FV A-00006-00002800</t>
  </si>
  <si>
    <t>FV A-00006-00002800.pdf</t>
  </si>
  <si>
    <t>RE R-00008-00003441</t>
  </si>
  <si>
    <t>RE R-00008-00003441.pdf</t>
  </si>
  <si>
    <t>FV B-00090-00003844</t>
  </si>
  <si>
    <t>FV B-00090-00003844.pdf</t>
  </si>
  <si>
    <t>RE R-00008-00003439</t>
  </si>
  <si>
    <t>RE R-00008-00003439.pdf</t>
  </si>
  <si>
    <t>FV A-00090-00030517</t>
  </si>
  <si>
    <t>FV A-00090-00030517.pdf</t>
  </si>
  <si>
    <t>RE R-00008-00003446</t>
  </si>
  <si>
    <t>RE R-00008-00003446.pdf</t>
  </si>
  <si>
    <t>FV A-00006-00002802</t>
  </si>
  <si>
    <t>FV A-00006-00002802.pdf</t>
  </si>
  <si>
    <t>RE R-00008-00003443</t>
  </si>
  <si>
    <t>RE R-00008-00003443.pdf</t>
  </si>
  <si>
    <t>FV A-00006-00002754(1).pdf</t>
  </si>
  <si>
    <t>FV A-00006-00002754(2).pdf</t>
  </si>
  <si>
    <t>FV A-00006-00002810</t>
  </si>
  <si>
    <t>FV A-00006-00002810.pdf</t>
  </si>
  <si>
    <t>RE R-00008-00003453</t>
  </si>
  <si>
    <t>RE R-00008-00003453.pdf</t>
  </si>
  <si>
    <t>ALYSER S.A.</t>
  </si>
  <si>
    <t>FV A-00006-00002811</t>
  </si>
  <si>
    <t>FV A-00006-00002811.pdf</t>
  </si>
  <si>
    <t>RE R-00008-00003454</t>
  </si>
  <si>
    <t>RE R-00008-00003454.pdf</t>
  </si>
  <si>
    <t>FV A-00006-00002828</t>
  </si>
  <si>
    <t>FV A-00006-00002828.pdf</t>
  </si>
  <si>
    <t>RE R-00008-00003451</t>
  </si>
  <si>
    <t>RE R-00008-00003451.pdf</t>
  </si>
  <si>
    <t>FV A-00006-00002805</t>
  </si>
  <si>
    <t>FV A-00006-00002805.pdf</t>
  </si>
  <si>
    <t>RE R-00008-00003448</t>
  </si>
  <si>
    <t>RE R-00008-00003448.pdf</t>
  </si>
  <si>
    <t>FV A-00006-00002807</t>
  </si>
  <si>
    <t>FV A-00006-00002807.pdf</t>
  </si>
  <si>
    <t>RE R-00008-00003450</t>
  </si>
  <si>
    <t>RE R-00008-00003450.pdf</t>
  </si>
  <si>
    <t>FV A-00006-00002807(1).pdf</t>
  </si>
  <si>
    <t>FV A-00006-00002809</t>
  </si>
  <si>
    <t>FV A-00006-00002809.pdf</t>
  </si>
  <si>
    <t>RE R-00008-00003452</t>
  </si>
  <si>
    <t>RE R-00008-00003452.pdf</t>
  </si>
  <si>
    <t>FV B-00090-00000001</t>
  </si>
  <si>
    <t>FV B-00090-00000001.pdf</t>
  </si>
  <si>
    <t>RE R-00008-00003459</t>
  </si>
  <si>
    <t>RE R-00008-00003459.pdf</t>
  </si>
  <si>
    <t>FV A-00006-00002806</t>
  </si>
  <si>
    <t>FV A-00006-00002806.pdf</t>
  </si>
  <si>
    <t>RE R-00008-00003449</t>
  </si>
  <si>
    <t>RE R-00008-00003449.pdf</t>
  </si>
  <si>
    <t>FV A-00006-00002812</t>
  </si>
  <si>
    <t>FV A-00006-00002812.pdf</t>
  </si>
  <si>
    <t>RE R-00008-00003455</t>
  </si>
  <si>
    <t>RE R-00008-00003455.pdf</t>
  </si>
  <si>
    <t>FV A-00006-00002813</t>
  </si>
  <si>
    <t>FV A-00006-00002813.pdf</t>
  </si>
  <si>
    <t>RE R-00008-00003457</t>
  </si>
  <si>
    <t>RE R-00008-00003457.pdf</t>
  </si>
  <si>
    <t>FV A-00090-00000003</t>
  </si>
  <si>
    <t>FV A-00090-00000003.pdf</t>
  </si>
  <si>
    <t>RE R-00090-00000004</t>
  </si>
  <si>
    <t>RE R-00090-00000004.pdf</t>
  </si>
  <si>
    <t>GRUPO SANTA ROSA SRL</t>
  </si>
  <si>
    <t>FV E-00007-00000079</t>
  </si>
  <si>
    <t>FV E-00007-00000079.pdf</t>
  </si>
  <si>
    <t>RE E-00007-00000079</t>
  </si>
  <si>
    <t>RE E-00007-00000079.pdf</t>
  </si>
  <si>
    <t>FV A-00006-00002819</t>
  </si>
  <si>
    <t>FV A-00006-00002819.pdf</t>
  </si>
  <si>
    <t>RE R-00008-00003465</t>
  </si>
  <si>
    <t>RE R-00008-00003465.pdf</t>
  </si>
  <si>
    <t>ESTABLECIMIENTO LOS CALVOS S R L</t>
  </si>
  <si>
    <t>FV A-00006-00002816</t>
  </si>
  <si>
    <t>FV A-00006-00002816.pdf</t>
  </si>
  <si>
    <t>RE R-00008-00003463</t>
  </si>
  <si>
    <t>RE R-00008-00003463.pdf</t>
  </si>
  <si>
    <t>DUOMO S. A.</t>
  </si>
  <si>
    <t>FV A-00006-00002815</t>
  </si>
  <si>
    <t>FV A-00006-00002815.pdf</t>
  </si>
  <si>
    <t>RE R-00008-00003461</t>
  </si>
  <si>
    <t>RE R-00008-00003461.pdf</t>
  </si>
  <si>
    <t>FV A-00006-00002822</t>
  </si>
  <si>
    <t>FV A-00006-00002822.pdf</t>
  </si>
  <si>
    <t>RE R-00008-00003469</t>
  </si>
  <si>
    <t>RE R-00008-00003469.pdf</t>
  </si>
  <si>
    <t>FV A-00006-00002822(1).pdf</t>
  </si>
  <si>
    <t>FV B-00006-00000291</t>
  </si>
  <si>
    <t>FV B-00006-00000291.pdf</t>
  </si>
  <si>
    <t>RE R-00008-00003473</t>
  </si>
  <si>
    <t>RE R-00008-00003473.pdf</t>
  </si>
  <si>
    <t>FV A-00006-00002823</t>
  </si>
  <si>
    <t>FV A-00006-00002823.pdf</t>
  </si>
  <si>
    <t>RE R-00008-00003470</t>
  </si>
  <si>
    <t>RE R-00008-00003470.pdf</t>
  </si>
  <si>
    <t>FV A-00006-00002823(1).pdf</t>
  </si>
  <si>
    <t>FV A-00006-00002823(2).pdf</t>
  </si>
  <si>
    <t>FV A-00006-00002823(3).pdf</t>
  </si>
  <si>
    <t>FV F-00090-00000011</t>
  </si>
  <si>
    <t>FV F-00090-00000011.pdf</t>
  </si>
  <si>
    <t>RE R-00090-00000017</t>
  </si>
  <si>
    <t>RE R-00090-00000017.pdf</t>
  </si>
  <si>
    <t>FV B-00006-00000294</t>
  </si>
  <si>
    <t>FV B-00006-00000294.pdf</t>
  </si>
  <si>
    <t>RE R-00008-00003501</t>
  </si>
  <si>
    <t>RE R-00008-00003501.pdf</t>
  </si>
  <si>
    <t>FV A-00090-00000010</t>
  </si>
  <si>
    <t>FV A-00090-00000010.pdf</t>
  </si>
  <si>
    <t>RE R-00090-00000015</t>
  </si>
  <si>
    <t>RE R-00090-00000015.pdf</t>
  </si>
  <si>
    <t>JOFRE FABIAN ORLANDO</t>
  </si>
  <si>
    <t>8001</t>
  </si>
  <si>
    <t>FV A-00090-00000009</t>
  </si>
  <si>
    <t>FV A-00090-00000009.pdf</t>
  </si>
  <si>
    <t>RE R-00008-00003499</t>
  </si>
  <si>
    <t>RE R-00008-00003499.pdf</t>
  </si>
  <si>
    <t>FV A-00090-00000008</t>
  </si>
  <si>
    <t>FV A-00090-00000008.pdf</t>
  </si>
  <si>
    <t>RE R-00090-00000014</t>
  </si>
  <si>
    <t>RE R-00090-00000014.pdf</t>
  </si>
  <si>
    <t>OBADIA CHAMA</t>
  </si>
  <si>
    <t>FV B-00090-00000008</t>
  </si>
  <si>
    <t>FV B-00090-00000008.pdf</t>
  </si>
  <si>
    <t>RE R-00090-00000012</t>
  </si>
  <si>
    <t>RE R-00090-00000012.pdf</t>
  </si>
  <si>
    <t>FV A-00090-00000005</t>
  </si>
  <si>
    <t>FV A-00090-00000005.pdf</t>
  </si>
  <si>
    <t>RE R-00090-00000010</t>
  </si>
  <si>
    <t>RE R-00090-00000010.pdf</t>
  </si>
  <si>
    <t>FV A-00006-00002831</t>
  </si>
  <si>
    <t>FV A-00006-00002831(1).pdf</t>
  </si>
  <si>
    <t>RE R-00008-00003486</t>
  </si>
  <si>
    <t>RE R-00008-00003486.pdf</t>
  </si>
  <si>
    <t>FV A-00006-00002831.pdf</t>
  </si>
  <si>
    <t>FV A-00006-00002830</t>
  </si>
  <si>
    <t>FV A-00006-00002830.pdf</t>
  </si>
  <si>
    <t>RE R-00008-00003485</t>
  </si>
  <si>
    <t>RE R-00008-00003485.pdf</t>
  </si>
  <si>
    <t>FV A-00006-00002829</t>
  </si>
  <si>
    <t>FV A-00006-00002829.pdf</t>
  </si>
  <si>
    <t>RE R-00008-00003484</t>
  </si>
  <si>
    <t>RE R-00008-00003484.pdf</t>
  </si>
  <si>
    <t>FV A-00006-00002828(1).pdf</t>
  </si>
  <si>
    <t>RE R-00008-00003481</t>
  </si>
  <si>
    <t>RE R-00008-00003481.pdf</t>
  </si>
  <si>
    <t>FV A-00006-00002827</t>
  </si>
  <si>
    <t>FV A-00006-00002827.pdf</t>
  </si>
  <si>
    <t>RE R-00008-00003480</t>
  </si>
  <si>
    <t>RE R-00008-00003480.pdf</t>
  </si>
  <si>
    <t>FV A-00006-00002826</t>
  </si>
  <si>
    <t>FV A-00006-00002826.pdf</t>
  </si>
  <si>
    <t>RE R-00008-00003476</t>
  </si>
  <si>
    <t>RE R-00008-00003476.pdf</t>
  </si>
  <si>
    <t xml:space="preserve">Eliminados                    </t>
  </si>
  <si>
    <t>FV A-00090-00000013</t>
  </si>
  <si>
    <t>FV A-00090-00000013.pdf</t>
  </si>
  <si>
    <t>RE R-00090-00000022</t>
  </si>
  <si>
    <t>RE R-00090-00000022.pdf</t>
  </si>
  <si>
    <t>FV A-00090-00000012</t>
  </si>
  <si>
    <t>FV A-00090-00000012.pdf</t>
  </si>
  <si>
    <t>RE R-00090-00000021</t>
  </si>
  <si>
    <t>RE R-00090-00000021.pdf</t>
  </si>
  <si>
    <t>FV B-00090-00000012</t>
  </si>
  <si>
    <t>FV B-00090-00000012.pdf</t>
  </si>
  <si>
    <t>RE R-00090-00000019</t>
  </si>
  <si>
    <t>RE R-00090-00000019.pdf</t>
  </si>
  <si>
    <t>FV B-00090-00000017</t>
  </si>
  <si>
    <t>FV B-00090-00000017.pdf</t>
  </si>
  <si>
    <t>RE R-00090-00000026</t>
  </si>
  <si>
    <t>RE R-00090-00000026.pdf</t>
  </si>
  <si>
    <t>FV B-00090-00000018</t>
  </si>
  <si>
    <t>FV B-00090-00000018.pdf</t>
  </si>
  <si>
    <t>RE R-00090-00000028</t>
  </si>
  <si>
    <t>RE R-00090-00000028.pdf</t>
  </si>
  <si>
    <t>FV A-00090-00000014</t>
  </si>
  <si>
    <t>FV A-00090-00000014.pdf</t>
  </si>
  <si>
    <t>RE R-00090-00000027</t>
  </si>
  <si>
    <t>RE R-00090-00000027.pdf</t>
  </si>
  <si>
    <t>FV A-00006-00002838</t>
  </si>
  <si>
    <t>FV A-00006-00002838.pdf</t>
  </si>
  <si>
    <t>RE R-00008-00003519</t>
  </si>
  <si>
    <t>RE R-00008-00003519.pdf</t>
  </si>
  <si>
    <t>FV A-00006-00002841</t>
  </si>
  <si>
    <t>FV A-00006-00002841.pdf</t>
  </si>
  <si>
    <t>RE R-00008-00003530</t>
  </si>
  <si>
    <t>RE R-00008-00003530.pdf</t>
  </si>
  <si>
    <t>EnTR</t>
  </si>
  <si>
    <t>FV A-00006-00002843</t>
  </si>
  <si>
    <t>FV A-00006-00002843.pdf</t>
  </si>
  <si>
    <t>RE R-00008-00003532</t>
  </si>
  <si>
    <t>RE R-00008-00003532.pdf</t>
  </si>
  <si>
    <t>FV A-00006-00002840</t>
  </si>
  <si>
    <t>FV A-00006-00002840.pdf</t>
  </si>
  <si>
    <t>RE R-00008-00003529</t>
  </si>
  <si>
    <t>RE R-00008-00003529.pdf</t>
  </si>
  <si>
    <t>LOS NOGALES PyG S.R.L.</t>
  </si>
  <si>
    <t>FV A-00090-00000017</t>
  </si>
  <si>
    <t>FV A-00090-00000017.pdf</t>
  </si>
  <si>
    <t>RE R-00090-00000037</t>
  </si>
  <si>
    <t>RE R-00090-00000037.pdf</t>
  </si>
  <si>
    <t>FV B-00006-00000294(2).pdf</t>
  </si>
  <si>
    <t>FV B-00006-00000294(1).pdf</t>
  </si>
  <si>
    <t>FV B-00006-00000294(5).pdf</t>
  </si>
  <si>
    <t xml:space="preserve">PIST008   </t>
  </si>
  <si>
    <t xml:space="preserve">PELADO NATURAL SIN SELECCION  </t>
  </si>
  <si>
    <t>FV B-00006-00000294(3).pdf</t>
  </si>
  <si>
    <t xml:space="preserve">PIST009   </t>
  </si>
  <si>
    <t xml:space="preserve">HARINA DE PISTACHO            </t>
  </si>
  <si>
    <t>FV B-00006-00000294(4).pdf</t>
  </si>
  <si>
    <t>FV A-00006-00002844</t>
  </si>
  <si>
    <t>FV A-00006-00002844.pdf</t>
  </si>
  <si>
    <t>RE R-00008-00003534</t>
  </si>
  <si>
    <t>RE R-00008-00003534.pdf</t>
  </si>
  <si>
    <t xml:space="preserve">Preventa                      </t>
  </si>
  <si>
    <t>FV A-00006-00002862</t>
  </si>
  <si>
    <t>FV A-00006-00002862.pdf</t>
  </si>
  <si>
    <t>RE R-00008-00003581</t>
  </si>
  <si>
    <t>RE R-00008-00003581.pdf</t>
  </si>
  <si>
    <t>FV A-00006-00002859</t>
  </si>
  <si>
    <t>FV A-00006-00002859(1).pdf</t>
  </si>
  <si>
    <t>RE R-00008-00003578</t>
  </si>
  <si>
    <t>RE R-00008-00003578.pdf</t>
  </si>
  <si>
    <t>FARICCI S R L</t>
  </si>
  <si>
    <t>FV A-00006-00002858</t>
  </si>
  <si>
    <t>FV A-00006-00002858.pdf</t>
  </si>
  <si>
    <t>RE R-00008-00003577</t>
  </si>
  <si>
    <t>RE R-00008-00003577.pdf</t>
  </si>
  <si>
    <t>FV A-00090-00000022</t>
  </si>
  <si>
    <t>FV A-00090-00000022.pdf</t>
  </si>
  <si>
    <t>RE R-00090-00000044</t>
  </si>
  <si>
    <t>RE R-00090-00000044.pdf</t>
  </si>
  <si>
    <t>FV A-00006-00002854</t>
  </si>
  <si>
    <t>FV A-00006-00002854.pdf</t>
  </si>
  <si>
    <t>RE R-00008-00003560</t>
  </si>
  <si>
    <t>RE R-00008-00003560.pdf</t>
  </si>
  <si>
    <t>FV A-00090-00000021</t>
  </si>
  <si>
    <t>FV A-00090-00000021(1).pdf</t>
  </si>
  <si>
    <t>RE R-00090-00000043</t>
  </si>
  <si>
    <t>RE R-00090-00000043.pdf</t>
  </si>
  <si>
    <t>FV A-00090-00000021.pdf</t>
  </si>
  <si>
    <t>FV A-00090-00000020</t>
  </si>
  <si>
    <t>FV A-00090-00000020.pdf</t>
  </si>
  <si>
    <t>RE R-00090-00000041</t>
  </si>
  <si>
    <t>RE R-00090-00000041.pdf</t>
  </si>
  <si>
    <t>FV A-00006-00002849</t>
  </si>
  <si>
    <t>FV A-00006-00002849.pdf</t>
  </si>
  <si>
    <t>RE R-00008-00003550</t>
  </si>
  <si>
    <t>RE R-00008-00003550.pdf</t>
  </si>
  <si>
    <t>FV A-00006-00002847</t>
  </si>
  <si>
    <t>FV A-00006-00002847(1).pdf</t>
  </si>
  <si>
    <t>RE R-00008-00003548</t>
  </si>
  <si>
    <t>RE R-00008-00003548.pdf</t>
  </si>
  <si>
    <t>FV A-00006-00002848</t>
  </si>
  <si>
    <t>FV A-00006-00002848(1).pdf</t>
  </si>
  <si>
    <t>RE R-00008-00003549</t>
  </si>
  <si>
    <t>RE R-00008-00003549.pdf</t>
  </si>
  <si>
    <t>FV A-00006-00002848.pdf</t>
  </si>
  <si>
    <t>FV A-00006-00002850</t>
  </si>
  <si>
    <t>FV A-00006-00002850.pdf</t>
  </si>
  <si>
    <t>RE R-00008-00003552</t>
  </si>
  <si>
    <t>RE R-00008-00003552.pdf</t>
  </si>
  <si>
    <t>FV A-00006-00002847.pdf</t>
  </si>
  <si>
    <t>FV A-00006-00002859.pdf</t>
  </si>
  <si>
    <t>FV A-00090-00000023</t>
  </si>
  <si>
    <t>FV A-00090-00000023.pdf</t>
  </si>
  <si>
    <t>RE R-00090-00000054</t>
  </si>
  <si>
    <t>RE R-00090-00000054.pdf</t>
  </si>
  <si>
    <t>FV A-00006-00002865</t>
  </si>
  <si>
    <t>FV A-00006-00002865.pdf</t>
  </si>
  <si>
    <t>RE R-00008-00003594</t>
  </si>
  <si>
    <t>RE R-00008-00003594.pdf</t>
  </si>
  <si>
    <t>FV A-00090-00000025</t>
  </si>
  <si>
    <t>FV A-00090-00000025.pdf</t>
  </si>
  <si>
    <t>RE R-00090-00000063</t>
  </si>
  <si>
    <t>RE R-00090-00000063.pdf</t>
  </si>
  <si>
    <t>FV B-00090-00000042</t>
  </si>
  <si>
    <t>FV B-00090-00000042.pdf</t>
  </si>
  <si>
    <t>RE R-00090-00000061</t>
  </si>
  <si>
    <t>RE R-00090-00000061.pdf</t>
  </si>
  <si>
    <t>FV A-00090-00000026</t>
  </si>
  <si>
    <t>FV A-00090-00000026.pdf</t>
  </si>
  <si>
    <t>RE R-00008-00003605</t>
  </si>
  <si>
    <t>RE R-00008-00003605.pdf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</si>
</sst>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_-;\-* #,##0_-;_-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left" indent="1"/>
    </xf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1">
    <dxf>
      <numFmt numFmtId="1" formatCode="0"/>
    </dxf>
    <dxf>
      <numFmt numFmtId="1" formatCode="0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1" defaultTableStyle="TableStyleMedium2" defaultPivotStyle="PivotStyleLight16">
    <tableStyle name="Invisible" pivot="0" table="0" count="0" xr9:uid="{FB660F63-3E12-493E-A38F-899251B2EA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39.67959699074" createdVersion="8" refreshedVersion="8" minRefreshableVersion="3" recordCount="239" xr:uid="{45D8FA41-DE4C-4324-981A-6A942B82E0FE}">
  <cacheSource type="worksheet">
    <worksheetSource name="Pedidos_Pistachos"/>
  </cacheSource>
  <cacheFields count="41">
    <cacheField name="Pedido" numFmtId="0">
      <sharedItems containsSemiMixedTypes="0" containsString="0" containsNumber="1" containsInteger="1" minValue="76193" maxValue="88023"/>
    </cacheField>
    <cacheField name="Item" numFmtId="0">
      <sharedItems containsSemiMixedTypes="0" containsString="0" containsNumber="1" containsInteger="1" minValue="1" maxValue="9"/>
    </cacheField>
    <cacheField name="Calidad" numFmtId="0">
      <sharedItems/>
    </cacheField>
    <cacheField name="RazonSocial" numFmtId="0">
      <sharedItems count="82">
        <s v="GENEBRIER SEBASTIAN ALEJANDRO"/>
        <s v="FRUTOS SECOS DON LORENZO S.R.L"/>
        <s v="ESPADA MIRIAN"/>
        <s v="BOGS S.A."/>
        <s v="GUZMAN PABLO DANIEL"/>
        <s v="FERNANDA CRISTOFORO"/>
        <s v="BAZAN LEOPOLDO PEDRO"/>
        <s v="CONTINO FRANCISCO ROBERTO"/>
        <s v="DENINNO ALBERTO LUIS"/>
        <s v="SANTIAGO SELSER"/>
        <s v="SAMAN"/>
        <s v="HAVANNA S.A."/>
        <s v="BLANCANUEZ SOCIEDAD ANONIMA"/>
        <s v="AGRO ESPOSITO FIDEICOMISO"/>
        <s v="HANDOZ S.A."/>
        <s v="CURIPAN S.A"/>
        <s v="9 QUEBRACHOS SRL"/>
        <s v="GRUPO NUTRICOM S.A."/>
        <s v="MANISAN S R L"/>
        <s v="IL FORNITORI S.R.L."/>
        <s v="APIDELTA SRL"/>
        <s v="FABIAN FERNANDEZ"/>
        <s v="PEHUENIA ALIMENTARIA S R L"/>
        <s v="CHOCOLATE COLONIAL SA."/>
        <s v="BAVOSI SOCIEDAD ANONIMA"/>
        <s v="COMERCIAL ACONCAGUA S A"/>
        <s v="LG DISTRIBUIDORA DEL SUDESTE MDP"/>
        <s v="VALLE DEL SEMBRADOR S. A. S"/>
        <s v="RAMDEC S R L"/>
        <s v="SPAGNOLI RICARDO JUAN"/>
        <s v="LOS TRES ALGARROBOS S.A."/>
        <s v="LODISER SA"/>
        <s v="MELAR S.A"/>
        <s v="ENVASES DORE SRL"/>
        <s v="LEONARDO DANIEL JEIFETZ"/>
        <s v="ALTOS DE SINGUIL S.R.L"/>
        <s v="AVERNA JAVIER RODRIGO HUMBERTO"/>
        <s v="TRONADOR SOCIEDAD ANONIMA COMERCIAL"/>
        <s v="BETFOOD SRL"/>
        <s v="CURA ELIZABETH VANESA"/>
        <s v="DISTRIBUIDORA AMBAR SAS"/>
        <s v="FEDYNIUK VANESA TAMARA"/>
        <s v="Ignacio García"/>
        <s v="GRASS JOHANN FRANCISCO"/>
        <s v="HIDALGO ROLANDO NEMESIO"/>
        <s v="KE PRODUCTO S.R.L"/>
        <s v="MANAGEMENT SUR SRL"/>
        <s v="PALETIZADORA M&amp;F S.A."/>
        <s v="PUERTO GOURMET SRL"/>
        <s v="RIATOS NICOLAS"/>
        <s v="RONI FRIDMAN"/>
        <s v="SANERGIA SRL"/>
        <s v="WIKIKU S. A. U."/>
        <s v="QNM S.R.L"/>
        <s v="NUTRIVITA S.A."/>
        <s v="MUNDI FRUT S.R.L."/>
        <s v="MELLINO NOGUEZ CHRISTIAN MARCELO"/>
        <s v="Martin Quintar"/>
        <s v="LASCAR PEDRO RAFAEL"/>
        <s v="KEYMAR SRL"/>
        <s v="DIEGO ARIEL RODRIGUEZ"/>
        <s v="DANIEL GUZMAN"/>
        <s v="BELLONI LILIAN BEATRIZ"/>
        <s v="CRANC S.R.L."/>
        <s v="Lilian Beatriz Belloni"/>
        <s v="DAVEFOOD SA"/>
        <s v="DUMONT Y ZAPATA"/>
        <s v="THIONIS S.R.L."/>
        <s v="LACASSAGNE JORGELINA LAURA"/>
        <s v="LOGICA NATURAL S.R.L."/>
        <s v="BRIGEL SRL"/>
        <s v="COSENZA GELATTO SA"/>
        <s v="ALYSER S.A."/>
        <s v="GIANDUIA S.R.L"/>
        <s v="GOLOSINAS O.E.N.P. S.A."/>
        <s v="DUOMO S. A."/>
        <s v="ESTABLECIMIENTO LOS CALVOS S R L"/>
        <s v="GRUPO SANTA ROSA SRL"/>
        <s v="OBADIA CHAMA"/>
        <s v="JOFRE FABIAN ORLANDO"/>
        <s v="LOS NOGALES PyG S.R.L."/>
        <s v="FARICCI S R L"/>
      </sharedItems>
    </cacheField>
    <cacheField name="CodArticulo" numFmtId="0">
      <sharedItems/>
    </cacheField>
    <cacheField name="Articulo" numFmtId="0">
      <sharedItems count="11">
        <s v="Pistacho Tost y Sal  c/ cascar"/>
        <s v="Pistacho Natural sin Cáscara  "/>
        <s v="Pistacho Pelado Natural       "/>
        <s v="Pistacho Tostado sin Cáscara  "/>
        <s v="Pistacho Pelado Tostado       "/>
        <s v="Pistacho C/Cascara Tost y Sal "/>
        <s v="Pistacho Natural No Entero    "/>
        <s v="Pistacho Pel. Nat. Californian"/>
        <s v="Pistacho Pelado Tost. No Enter"/>
        <s v="PELADO NATURAL SIN SELECCION  "/>
        <s v="HARINA DE PISTACHO            "/>
      </sharedItems>
    </cacheField>
    <cacheField name="CodColor" numFmtId="0">
      <sharedItems/>
    </cacheField>
    <cacheField name="Color" numFmtId="0">
      <sharedItems/>
    </cacheField>
    <cacheField name="CantidadPedida" numFmtId="3">
      <sharedItems containsSemiMixedTypes="0" containsString="0" containsNumber="1" containsInteger="1" minValue="0" maxValue="4060"/>
    </cacheField>
    <cacheField name="Precio" numFmtId="4">
      <sharedItems containsSemiMixedTypes="0" containsString="0" containsNumber="1" minValue="1" maxValue="45"/>
    </cacheField>
    <cacheField name="CantidadPreparada" numFmtId="3">
      <sharedItems containsSemiMixedTypes="0" containsString="0" containsNumber="1" containsInteger="1" minValue="0" maxValue="1920"/>
    </cacheField>
    <cacheField name="CantidadRomaneada" numFmtId="3">
      <sharedItems containsSemiMixedTypes="0" containsString="0" containsNumber="1" containsInteger="1" minValue="0" maxValue="1920"/>
    </cacheField>
    <cacheField name="KgMtPreparados" numFmtId="3">
      <sharedItems containsSemiMixedTypes="0" containsString="0" containsNumber="1" containsInteger="1" minValue="0" maxValue="19200"/>
    </cacheField>
    <cacheField name="Estado" numFmtId="0">
      <sharedItems count="6">
        <s v="FAC "/>
        <s v="EnTR"/>
        <s v="Alta"/>
        <s v="Anul"/>
        <s v="Lib " u="1"/>
        <s v="EnPr" u="1"/>
      </sharedItems>
    </cacheField>
    <cacheField name="Deposito" numFmtId="0">
      <sharedItems/>
    </cacheField>
    <cacheField name="Vtas_Fact_Empresa" numFmtId="0">
      <sharedItems containsBlank="1"/>
    </cacheField>
    <cacheField name="Vtas_Fact_Formulario" numFmtId="0">
      <sharedItems containsBlank="1"/>
    </cacheField>
    <cacheField name="Vtas_Fact_PDF" numFmtId="0">
      <sharedItems containsBlank="1"/>
    </cacheField>
    <cacheField name="Vtas_Remito_Formulario" numFmtId="0">
      <sharedItems containsBlank="1"/>
    </cacheField>
    <cacheField name="Vtas_Remito_PDF" numFmtId="0">
      <sharedItems containsBlank="1"/>
    </cacheField>
    <cacheField name="Rom_Mov_Tipo" numFmtId="0">
      <sharedItems containsBlank="1"/>
    </cacheField>
    <cacheField name="Rom_Mov_Numero" numFmtId="0">
      <sharedItems containsString="0" containsBlank="1" containsNumber="1" containsInteger="1" minValue="128852" maxValue="179769"/>
    </cacheField>
    <cacheField name="Vtas_Fact_fecha" numFmtId="14">
      <sharedItems containsNonDate="0" containsDate="1" containsString="0" containsBlank="1" minDate="2025-07-04T00:00:00" maxDate="2026-07-16T00:00:00"/>
    </cacheField>
    <cacheField name="Vendedor" numFmtId="0">
      <sharedItems/>
    </cacheField>
    <cacheField name="PD_Id" numFmtId="0">
      <sharedItems containsSemiMixedTypes="0" containsString="0" containsNumber="1" containsInteger="1" minValue="147176" maxValue="208994"/>
    </cacheField>
    <cacheField name="Alta" numFmtId="14">
      <sharedItems containsSemiMixedTypes="0" containsNonDate="0" containsDate="1" containsString="0" minDate="2025-06-30T00:00:00" maxDate="2026-07-16T00:00:00"/>
    </cacheField>
    <cacheField name="Asignado" numFmtId="14">
      <sharedItems containsSemiMixedTypes="0" containsNonDate="0" containsDate="1" containsString="0" minDate="2025-07-01T00:00:00" maxDate="2026-07-16T00:00:00"/>
    </cacheField>
    <cacheField name="EnPr" numFmtId="14">
      <sharedItems containsNonDate="0" containsDate="1" containsString="0" containsBlank="1" minDate="2025-07-04T00:00:00" maxDate="2026-07-16T00:00:00"/>
    </cacheField>
    <cacheField name="Prep" numFmtId="14">
      <sharedItems containsNonDate="0" containsDate="1" containsString="0" containsBlank="1" minDate="2025-07-04T00:00:00" maxDate="2026-07-16T00:00:00"/>
    </cacheField>
    <cacheField name="ARom" numFmtId="14">
      <sharedItems containsNonDate="0" containsDate="1" containsString="0" containsBlank="1" minDate="2025-07-04T00:00:00" maxDate="2026-07-16T00:00:00"/>
    </cacheField>
    <cacheField name="Roma" numFmtId="14">
      <sharedItems containsNonDate="0" containsDate="1" containsString="0" containsBlank="1" minDate="2025-07-04T00:00:00" maxDate="2026-07-16T00:00:00"/>
    </cacheField>
    <cacheField name="Fac" numFmtId="14">
      <sharedItems containsNonDate="0" containsDate="1" containsString="0" containsBlank="1" minDate="2025-07-04T00:00:00" maxDate="2026-07-16T00:00:00"/>
    </cacheField>
    <cacheField name="Lib" numFmtId="14">
      <sharedItems containsNonDate="0" containsDate="1" containsString="0" containsBlank="1" minDate="2026-01-22T00:00:00" maxDate="2026-01-23T00:00:00"/>
    </cacheField>
    <cacheField name="Ent" numFmtId="14">
      <sharedItems containsNonDate="0" containsString="0" containsBlank="1"/>
    </cacheField>
    <cacheField name="desh" numFmtId="14">
      <sharedItems containsNonDate="0" containsString="0" containsBlank="1"/>
    </cacheField>
    <cacheField name="Con" numFmtId="14">
      <sharedItems containsNonDate="0" containsString="0" containsBlank="1"/>
    </cacheField>
    <cacheField name="Baja" numFmtId="14">
      <sharedItems containsNonDate="0" containsString="0" containsBlank="1"/>
    </cacheField>
    <cacheField name="Anul" numFmtId="14">
      <sharedItems containsNonDate="0" containsDate="1" containsString="0" containsBlank="1" minDate="2025-10-01T00:00:00" maxDate="2025-10-02T00:00:00"/>
    </cacheField>
    <cacheField name="Articulos.Familia" numFmtId="0">
      <sharedItems/>
    </cacheField>
    <cacheField name="Cajas" numFmtId="1">
      <sharedItems containsSemiMixedTypes="0" containsString="0" containsNumber="1" containsInteger="1" minValue="0" maxValue="4060"/>
    </cacheField>
    <cacheField name="Bolsas" numFmtId="1">
      <sharedItems containsSemiMixedTypes="0" containsString="0" containsNumber="1" containsInteger="1" minValue="0" maxValue="8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39.679597337963" createdVersion="8" refreshedVersion="8" minRefreshableVersion="3" recordCount="241" xr:uid="{6CF075DD-4DF3-4F06-8079-6948C3DCF835}">
  <cacheSource type="worksheet">
    <worksheetSource ref="A1:AO1048576" sheet="Pedidos_Pistachos (2)"/>
  </cacheSource>
  <cacheFields count="41">
    <cacheField name="Pedido" numFmtId="0">
      <sharedItems containsString="0" containsBlank="1" containsNumber="1" containsInteger="1" minValue="76193" maxValue="88023"/>
    </cacheField>
    <cacheField name="Item" numFmtId="0">
      <sharedItems containsString="0" containsBlank="1" containsNumber="1" containsInteger="1" minValue="1" maxValue="9"/>
    </cacheField>
    <cacheField name="Calidad" numFmtId="0">
      <sharedItems containsBlank="1"/>
    </cacheField>
    <cacheField name="RazonSocial" numFmtId="0">
      <sharedItems containsBlank="1" count="83">
        <s v="GENEBRIER SEBASTIAN ALEJANDRO"/>
        <s v="FRUTOS SECOS DON LORENZO S.R.L"/>
        <s v="ESPADA MIRIAN"/>
        <s v="BOGS S.A."/>
        <s v="GUZMAN PABLO DANIEL"/>
        <s v="FERNANDA CRISTOFORO"/>
        <s v="BAZAN LEOPOLDO PEDRO"/>
        <s v="CONTINO FRANCISCO ROBERTO"/>
        <s v="DENINNO ALBERTO LUIS"/>
        <s v="SANTIAGO SELSER"/>
        <s v="SAMAN"/>
        <s v="HAVANNA S.A."/>
        <s v="BLANCANUEZ SOCIEDAD ANONIMA"/>
        <s v="AGRO ESPOSITO FIDEICOMISO"/>
        <s v="HANDOZ S.A."/>
        <s v="CURIPAN S.A"/>
        <s v="9 QUEBRACHOS SRL"/>
        <s v="GRUPO NUTRICOM S.A."/>
        <s v="MANISAN S R L"/>
        <s v="IL FORNITORI S.R.L."/>
        <s v="APIDELTA SRL"/>
        <s v="FABIAN FERNANDEZ"/>
        <s v="PEHUENIA ALIMENTARIA S R L"/>
        <s v="CHOCOLATE COLONIAL SA."/>
        <s v="BAVOSI SOCIEDAD ANONIMA"/>
        <s v="COMERCIAL ACONCAGUA S A"/>
        <s v="LG DISTRIBUIDORA DEL SUDESTE MDP"/>
        <s v="VALLE DEL SEMBRADOR S. A. S"/>
        <s v="RAMDEC S R L"/>
        <s v="SPAGNOLI RICARDO JUAN"/>
        <s v="LOS TRES ALGARROBOS S.A."/>
        <s v="LODISER SA"/>
        <s v="MELAR S.A"/>
        <s v="ENVASES DORE SRL"/>
        <s v="LEONARDO DANIEL JEIFETZ"/>
        <s v="ALTOS DE SINGUIL S.R.L"/>
        <s v="AVERNA JAVIER RODRIGO HUMBERTO"/>
        <s v="TRONADOR SOCIEDAD ANONIMA COMERCIAL"/>
        <s v="BETFOOD SRL"/>
        <s v="CURA ELIZABETH VANESA"/>
        <s v="DISTRIBUIDORA AMBAR SAS"/>
        <s v="FEDYNIUK VANESA TAMARA"/>
        <s v="Ignacio García"/>
        <s v="GRASS JOHANN FRANCISCO"/>
        <s v="HIDALGO ROLANDO NEMESIO"/>
        <s v="KE PRODUCTO S.R.L"/>
        <s v="MANAGEMENT SUR SRL"/>
        <s v="PALETIZADORA M&amp;F S.A."/>
        <s v="PUERTO GOURMET SRL"/>
        <s v="RIATOS NICOLAS"/>
        <s v="RONI FRIDMAN"/>
        <s v="SANERGIA SRL"/>
        <s v="WIKIKU S. A. U."/>
        <s v="QNM S.R.L"/>
        <s v="NUTRIVITA S.A."/>
        <s v="MUNDI FRUT S.R.L."/>
        <s v="MELLINO NOGUEZ CHRISTIAN MARCELO"/>
        <s v="Martin Quintar"/>
        <s v="LASCAR PEDRO RAFAEL"/>
        <s v="KEYMAR SRL"/>
        <s v="DIEGO ARIEL RODRIGUEZ"/>
        <s v="DANIEL GUZMAN"/>
        <s v="BELLONI LILIAN BEATRIZ"/>
        <s v="CRANC S.R.L."/>
        <s v="Lilian Beatriz Belloni"/>
        <s v="DAVEFOOD SA"/>
        <s v="DUMONT Y ZAPATA"/>
        <s v="THIONIS S.R.L."/>
        <s v="LACASSAGNE JORGELINA LAURA"/>
        <s v="LOGICA NATURAL S.R.L."/>
        <s v="BRIGEL SRL"/>
        <s v="COSENZA GELATTO SA"/>
        <s v="ALYSER S.A."/>
        <s v="GIANDUIA S.R.L"/>
        <s v="GOLOSINAS O.E.N.P. S.A."/>
        <s v="DUOMO S. A."/>
        <s v="ESTABLECIMIENTO LOS CALVOS S R L"/>
        <s v="GRUPO SANTA ROSA SRL"/>
        <s v="OBADIA CHAMA"/>
        <s v="JOFRE FABIAN ORLANDO"/>
        <s v="LOS NOGALES PyG S.R.L."/>
        <s v="FARICCI S R L"/>
        <m/>
      </sharedItems>
    </cacheField>
    <cacheField name="CodArticulo" numFmtId="0">
      <sharedItems containsBlank="1"/>
    </cacheField>
    <cacheField name="Articulo" numFmtId="0">
      <sharedItems containsBlank="1" count="12">
        <s v="Pistacho Tost y Sal  c/ cascar"/>
        <s v="Pistacho Natural sin Cáscara  "/>
        <s v="Pistacho Pelado Natural       "/>
        <s v="Pistacho Tostado sin Cáscara  "/>
        <s v="Pistacho Pelado Tostado       "/>
        <s v="Pistacho C/Cascara Tost y Sal "/>
        <s v="Pistacho Natural No Entero    "/>
        <s v="Pistacho Pel. Nat. Californian"/>
        <s v="Pistacho Pelado Tost. No Enter"/>
        <s v="PELADO NATURAL SIN SELECCION  "/>
        <s v="HARINA DE PISTACHO            "/>
        <m/>
      </sharedItems>
    </cacheField>
    <cacheField name="CodColor" numFmtId="0">
      <sharedItems containsBlank="1"/>
    </cacheField>
    <cacheField name="Color" numFmtId="0">
      <sharedItems containsBlank="1"/>
    </cacheField>
    <cacheField name="CantidadPedida" numFmtId="0">
      <sharedItems containsString="0" containsBlank="1" containsNumber="1" containsInteger="1" minValue="0" maxValue="42145"/>
    </cacheField>
    <cacheField name="Precio" numFmtId="0">
      <sharedItems containsString="0" containsBlank="1" containsNumber="1" minValue="1" maxValue="45"/>
    </cacheField>
    <cacheField name="CantidadPreparada" numFmtId="0">
      <sharedItems containsString="0" containsBlank="1" containsNumber="1" containsInteger="1" minValue="0" maxValue="32895"/>
    </cacheField>
    <cacheField name="CantidadRomaneada" numFmtId="0">
      <sharedItems containsString="0" containsBlank="1" containsNumber="1" containsInteger="1" minValue="0" maxValue="32895"/>
    </cacheField>
    <cacheField name="KgMtPreparados" numFmtId="0">
      <sharedItems containsString="0" containsBlank="1" containsNumber="1" containsInteger="1" minValue="0" maxValue="329250"/>
    </cacheField>
    <cacheField name="Estado" numFmtId="0">
      <sharedItems containsBlank="1" count="7">
        <s v="FAC "/>
        <s v="EnTR"/>
        <s v="Alta"/>
        <s v="Anul"/>
        <m/>
        <s v="Lib " u="1"/>
        <s v="EnPr" u="1"/>
      </sharedItems>
    </cacheField>
    <cacheField name="Deposito" numFmtId="0">
      <sharedItems containsBlank="1"/>
    </cacheField>
    <cacheField name="Vtas_Fact_Empresa" numFmtId="0">
      <sharedItems containsBlank="1"/>
    </cacheField>
    <cacheField name="Vtas_Fact_Formulario" numFmtId="0">
      <sharedItems containsBlank="1"/>
    </cacheField>
    <cacheField name="Vtas_Fact_PDF" numFmtId="0">
      <sharedItems containsBlank="1"/>
    </cacheField>
    <cacheField name="Vtas_Remito_Formulario" numFmtId="0">
      <sharedItems containsBlank="1"/>
    </cacheField>
    <cacheField name="Vtas_Remito_PDF" numFmtId="0">
      <sharedItems containsBlank="1"/>
    </cacheField>
    <cacheField name="Rom_Mov_Tipo" numFmtId="0">
      <sharedItems containsBlank="1"/>
    </cacheField>
    <cacheField name="Rom_Mov_Numero" numFmtId="0">
      <sharedItems containsString="0" containsBlank="1" containsNumber="1" containsInteger="1" minValue="128852" maxValue="179769"/>
    </cacheField>
    <cacheField name="Vtas_Fact_fecha" numFmtId="0">
      <sharedItems containsNonDate="0" containsDate="1" containsString="0" containsBlank="1" minDate="2025-07-04T00:00:00" maxDate="2026-07-16T00:00:00"/>
    </cacheField>
    <cacheField name="Vendedor" numFmtId="0">
      <sharedItems containsBlank="1"/>
    </cacheField>
    <cacheField name="PD_Id" numFmtId="0">
      <sharedItems containsString="0" containsBlank="1" containsNumber="1" containsInteger="1" minValue="147176" maxValue="208994"/>
    </cacheField>
    <cacheField name="Alta" numFmtId="0">
      <sharedItems containsNonDate="0" containsDate="1" containsString="0" containsBlank="1" minDate="2025-06-30T00:00:00" maxDate="2026-07-16T00:00:00"/>
    </cacheField>
    <cacheField name="Asignado" numFmtId="0">
      <sharedItems containsNonDate="0" containsDate="1" containsString="0" containsBlank="1" minDate="2025-07-01T00:00:00" maxDate="2026-07-16T00:00:00"/>
    </cacheField>
    <cacheField name="EnPr" numFmtId="0">
      <sharedItems containsNonDate="0" containsDate="1" containsString="0" containsBlank="1" minDate="2025-07-04T00:00:00" maxDate="2026-07-16T00:00:00"/>
    </cacheField>
    <cacheField name="Prep" numFmtId="0">
      <sharedItems containsNonDate="0" containsDate="1" containsString="0" containsBlank="1" minDate="2025-07-04T00:00:00" maxDate="2026-07-16T00:00:00"/>
    </cacheField>
    <cacheField name="ARom" numFmtId="0">
      <sharedItems containsNonDate="0" containsDate="1" containsString="0" containsBlank="1" minDate="2025-07-04T00:00:00" maxDate="2026-07-16T00:00:00"/>
    </cacheField>
    <cacheField name="Roma" numFmtId="0">
      <sharedItems containsNonDate="0" containsDate="1" containsString="0" containsBlank="1" minDate="2025-07-04T00:00:00" maxDate="2026-07-16T00:00:00"/>
    </cacheField>
    <cacheField name="Fac" numFmtId="0">
      <sharedItems containsNonDate="0" containsDate="1" containsString="0" containsBlank="1" minDate="2025-07-04T00:00:00" maxDate="2026-07-16T00:00:00"/>
    </cacheField>
    <cacheField name="Lib" numFmtId="0">
      <sharedItems containsNonDate="0" containsDate="1" containsString="0" containsBlank="1" minDate="2026-01-22T00:00:00" maxDate="2026-01-23T00:00:00"/>
    </cacheField>
    <cacheField name="Ent" numFmtId="0">
      <sharedItems containsNonDate="0" containsString="0" containsBlank="1"/>
    </cacheField>
    <cacheField name="desh" numFmtId="0">
      <sharedItems containsNonDate="0" containsString="0" containsBlank="1"/>
    </cacheField>
    <cacheField name="Con" numFmtId="0">
      <sharedItems containsNonDate="0" containsString="0" containsBlank="1"/>
    </cacheField>
    <cacheField name="Baja" numFmtId="0">
      <sharedItems containsNonDate="0" containsString="0" containsBlank="1"/>
    </cacheField>
    <cacheField name="Anul" numFmtId="0">
      <sharedItems containsNonDate="0" containsDate="1" containsString="0" containsBlank="1" minDate="2025-10-01T00:00:00" maxDate="2025-10-02T00:00:00"/>
    </cacheField>
    <cacheField name="Articulos.Familia" numFmtId="0">
      <sharedItems containsBlank="1"/>
    </cacheField>
    <cacheField name="Cajas" numFmtId="1">
      <sharedItems containsString="0" containsBlank="1" containsNumber="1" containsInteger="1" minValue="0" maxValue="4060"/>
    </cacheField>
    <cacheField name="Bolsas" numFmtId="1">
      <sharedItems containsString="0" containsBlank="1" containsNumber="1" containsInteger="1" minValue="0" maxValue="8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76300"/>
    <n v="1"/>
    <s v="2"/>
    <x v="0"/>
    <s v="TOST      "/>
    <x v="0"/>
    <s v="Pistachos"/>
    <s v="Pistachos                                         "/>
    <n v="70"/>
    <n v="17.2"/>
    <n v="70"/>
    <n v="70"/>
    <n v="700"/>
    <x v="0"/>
    <s v="Pistachos_Garbi               "/>
    <s v="COA"/>
    <s v="FV A-00090-00029799"/>
    <s v="FV A-00090-00029799.pdf"/>
    <s v="RE R-00008-00003318"/>
    <s v="RE R-00008-00003318.pdf"/>
    <s v="SA"/>
    <n v="128885"/>
    <d v="2025-07-14T00:00:00"/>
    <s v="Gab_Hernandez"/>
    <n v="147781"/>
    <d v="2025-07-02T00:00:00"/>
    <d v="2025-07-02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78"/>
    <n v="1"/>
    <s v="1"/>
    <x v="1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05"/>
    <s v="FV A-00006-00002705.pdf"/>
    <s v="RE R-00008-00003294"/>
    <s v="RE R-00008-00003294.pdf"/>
    <s v="SA"/>
    <n v="128894"/>
    <d v="2025-07-04T00:00:00"/>
    <s v="Fer_Cristoforo"/>
    <n v="147651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73"/>
    <n v="1"/>
    <s v="1"/>
    <x v="2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06"/>
    <s v="FV A-00006-00002706.pdf"/>
    <s v="RE R-00008-00003295"/>
    <s v="RE R-00008-00003295.pdf"/>
    <s v="SA"/>
    <n v="128898"/>
    <d v="2025-07-04T00:00:00"/>
    <s v="Gab_Hernandez"/>
    <n v="147588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53"/>
    <n v="1"/>
    <s v="1"/>
    <x v="3"/>
    <s v="PEPA      "/>
    <x v="1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707"/>
    <s v="FV A-00006-00002707.pdf"/>
    <s v="RE R-00008-00003296"/>
    <s v="RE R-00008-00003296.pdf"/>
    <s v="SA"/>
    <n v="128909"/>
    <d v="2025-07-04T00:00:00"/>
    <s v="Fer_Cristoforo"/>
    <n v="147522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140"/>
    <n v="280"/>
  </r>
  <r>
    <n v="76252"/>
    <n v="1"/>
    <s v="2"/>
    <x v="4"/>
    <s v="PEPA      "/>
    <x v="1"/>
    <s v="Pistachos"/>
    <s v="Pistachos                                         "/>
    <n v="70"/>
    <n v="30.35"/>
    <n v="70"/>
    <n v="70"/>
    <n v="700"/>
    <x v="0"/>
    <s v="Pistachos_Garbi               "/>
    <s v="COA"/>
    <s v="FV B-00090-00003698"/>
    <s v="FV B-00090-00003698.pdf"/>
    <s v="RE R-00000-00003316"/>
    <s v="RE R-00000-00003316.pdf"/>
    <s v="SA"/>
    <n v="128917"/>
    <d v="2025-07-14T00:00:00"/>
    <s v="Fer_Cristoforo"/>
    <n v="147520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45"/>
    <n v="1"/>
    <s v="2"/>
    <x v="5"/>
    <s v="PEPA      "/>
    <x v="1"/>
    <s v="Pistachos"/>
    <s v="Pistachos                                         "/>
    <n v="70"/>
    <n v="30.35"/>
    <n v="70"/>
    <n v="70"/>
    <n v="700"/>
    <x v="0"/>
    <s v="Pistachos_Garbi               "/>
    <s v="COA"/>
    <s v="FV A-00090-00029661"/>
    <s v="FV A-00090-00029661.pdf"/>
    <s v="RE R-00008-00003310"/>
    <s v="RE R-00008-00003310.pdf"/>
    <s v="SA"/>
    <n v="128918"/>
    <d v="2025-07-04T00:00:00"/>
    <s v="Fer_Cristoforo"/>
    <n v="147488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43"/>
    <n v="1"/>
    <s v="1"/>
    <x v="6"/>
    <s v="PEPA      "/>
    <x v="1"/>
    <s v="Pistachos"/>
    <s v="Pistachos                                         "/>
    <n v="70"/>
    <n v="31.3"/>
    <n v="70"/>
    <n v="70"/>
    <n v="700"/>
    <x v="0"/>
    <s v="Pistachos_Garbi               "/>
    <s v="COA"/>
    <s v="FV A-00006-00002712"/>
    <s v="FV A-00006-00002712.pdf"/>
    <s v="RE R-00008-00003303"/>
    <s v="RE R-00008-00003303.pdf"/>
    <s v="SA"/>
    <n v="128919"/>
    <d v="2025-07-04T00:00:00"/>
    <s v="Fer_Cristoforo"/>
    <n v="147486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36"/>
    <n v="1"/>
    <s v="1"/>
    <x v="7"/>
    <s v="TOST      "/>
    <x v="0"/>
    <s v="Pistachos"/>
    <s v="Pistachos                                         "/>
    <n v="70"/>
    <n v="17.5"/>
    <n v="70"/>
    <n v="70"/>
    <n v="700"/>
    <x v="0"/>
    <s v="Pistachos_Garbi               "/>
    <s v="COA"/>
    <s v="FV A-00006-00002704"/>
    <s v="FV A-00006-00002704.pdf"/>
    <s v="RE R-00008-00003293"/>
    <s v="RE R-00008-00003293.pdf"/>
    <s v="SA"/>
    <n v="128920"/>
    <d v="2025-07-07T00:00:00"/>
    <s v="Fer_Cristoforo"/>
    <n v="147464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22"/>
    <n v="1"/>
    <s v="1"/>
    <x v="6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12"/>
    <s v="FV A-00006-00002712(1).pdf"/>
    <s v="RE R-00008-00003303"/>
    <s v="RE R-00008-00003303.pdf"/>
    <s v="SA"/>
    <n v="128921"/>
    <d v="2025-07-08T00:00:00"/>
    <s v="Fer_Cristoforo"/>
    <n v="147414"/>
    <d v="2025-06-30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17"/>
    <n v="1"/>
    <s v="1"/>
    <x v="8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03"/>
    <s v="FV A-00006-00002703.pdf"/>
    <s v="RE R-00008-00003292"/>
    <s v="RE R-00008-00003292.pdf"/>
    <s v="SA"/>
    <n v="128922"/>
    <d v="2025-07-07T00:00:00"/>
    <s v="Fer_Cristoforo"/>
    <n v="147321"/>
    <d v="2025-06-30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12"/>
    <n v="1"/>
    <s v="2"/>
    <x v="9"/>
    <s v="TOST      "/>
    <x v="0"/>
    <s v="Pistachos"/>
    <s v="Pistachos                                         "/>
    <n v="70"/>
    <n v="17.2"/>
    <n v="70"/>
    <n v="70"/>
    <n v="700"/>
    <x v="0"/>
    <s v="Pistachos_Garbi               "/>
    <s v="COA"/>
    <s v="FV B-00090-00003661"/>
    <s v="FV B-00090-00003661.pdf"/>
    <s v="RE R-00008-00003308"/>
    <s v="RE R-00008-00003308.pdf"/>
    <s v="SA"/>
    <n v="128878"/>
    <d v="2025-07-07T00:00:00"/>
    <s v="Fer_Cristoforo"/>
    <n v="147284"/>
    <d v="2025-06-30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07"/>
    <n v="2"/>
    <s v="1"/>
    <x v="10"/>
    <s v="TOST      "/>
    <x v="0"/>
    <s v="Pistachos"/>
    <s v="Pistachos                                         "/>
    <n v="650"/>
    <n v="12.1"/>
    <n v="650"/>
    <n v="650"/>
    <n v="6500"/>
    <x v="0"/>
    <s v="Pistachos_Garbi               "/>
    <s v="COA"/>
    <s v="FV E-00007-00000077"/>
    <s v="FV E-00007-00000077(1).pdf"/>
    <s v="RE R-00008-00003300"/>
    <s v="RE R-00008-00003300.pdf"/>
    <s v="SA"/>
    <n v="128855"/>
    <d v="2025-07-08T00:00:00"/>
    <s v="Gab_Hernandez"/>
    <n v="147252"/>
    <d v="2025-06-30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650"/>
    <n v="1300"/>
  </r>
  <r>
    <n v="76207"/>
    <n v="1"/>
    <s v="1"/>
    <x v="10"/>
    <s v="PEPA      "/>
    <x v="1"/>
    <s v="Pistachos"/>
    <s v="Pistachos                                         "/>
    <n v="50"/>
    <n v="21.9"/>
    <n v="50"/>
    <n v="50"/>
    <n v="500"/>
    <x v="0"/>
    <s v="Pistachos_Garbi               "/>
    <s v="COA"/>
    <s v="FV E-00007-00000077"/>
    <s v="FV E-00007-00000077.pdf"/>
    <s v="RE R-00008-00003300"/>
    <s v="RE R-00008-00003300.pdf"/>
    <s v="SA"/>
    <n v="128856"/>
    <d v="2025-07-07T00:00:00"/>
    <s v="Gab_Hernandez"/>
    <n v="147250"/>
    <d v="2025-06-30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50"/>
    <n v="100"/>
  </r>
  <r>
    <n v="76193"/>
    <n v="1"/>
    <s v="1"/>
    <x v="11"/>
    <s v="PIST002   "/>
    <x v="2"/>
    <s v="Pistachos"/>
    <s v="Pistachos                                         "/>
    <n v="210"/>
    <n v="31.3"/>
    <n v="210"/>
    <n v="210"/>
    <n v="2100"/>
    <x v="0"/>
    <s v="Pistachos_Garbi               "/>
    <s v="COA"/>
    <s v="FV A-00006-00002708"/>
    <s v="FV A-00006-00002708.pdf"/>
    <s v="RE R-00008-00003297"/>
    <s v="RE R-00008-00003297.pdf"/>
    <s v="SA"/>
    <n v="128852"/>
    <d v="2025-07-07T00:00:00"/>
    <s v="Gab_Hernandez"/>
    <n v="147176"/>
    <d v="2025-06-30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210"/>
    <n v="420"/>
  </r>
  <r>
    <n v="76401"/>
    <n v="1"/>
    <s v="1"/>
    <x v="12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11"/>
    <s v="FV A-00006-00002711.pdf"/>
    <s v="RE R-00008-00003301"/>
    <s v="RE R-00008-00003301.pdf"/>
    <s v="SA"/>
    <n v="129153"/>
    <d v="2025-07-07T00:00:00"/>
    <s v="Gab_Hernandez"/>
    <n v="148403"/>
    <d v="2025-07-04T00:00:00"/>
    <d v="2025-07-04T00:00:00"/>
    <d v="2025-07-07T00:00:00"/>
    <d v="2025-07-07T00:00:00"/>
    <d v="2025-07-07T00:00:00"/>
    <d v="2025-07-07T00:00:00"/>
    <d v="2025-07-07T00:00:00"/>
    <m/>
    <m/>
    <m/>
    <m/>
    <m/>
    <m/>
    <s v="Pistachos "/>
    <n v="70"/>
    <n v="140"/>
  </r>
  <r>
    <n v="76402"/>
    <n v="1"/>
    <s v="1"/>
    <x v="13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10"/>
    <s v="FV A-00006-00002710.pdf"/>
    <s v="RE R-00008-00003299"/>
    <s v="RE R-00008-00003299.pdf"/>
    <s v="SA"/>
    <n v="129470"/>
    <d v="2025-07-08T00:00:00"/>
    <s v="Gab_Hernandez"/>
    <n v="148404"/>
    <d v="2025-07-04T00:00:00"/>
    <d v="2025-07-04T00:00:00"/>
    <d v="2025-07-07T00:00:00"/>
    <d v="2025-07-08T00:00:00"/>
    <d v="2025-07-08T00:00:00"/>
    <d v="2025-07-08T00:00:00"/>
    <d v="2025-07-08T00:00:00"/>
    <m/>
    <m/>
    <m/>
    <m/>
    <m/>
    <m/>
    <s v="Pistachos "/>
    <n v="70"/>
    <n v="140"/>
  </r>
  <r>
    <n v="76741"/>
    <n v="1"/>
    <s v="1"/>
    <x v="14"/>
    <s v="PEPA      "/>
    <x v="1"/>
    <s v="Pistachos"/>
    <s v="Pistachos                                         "/>
    <n v="70"/>
    <n v="31.3"/>
    <n v="70"/>
    <n v="70"/>
    <n v="700"/>
    <x v="0"/>
    <s v="Pistachos_Garbi               "/>
    <s v="COA"/>
    <s v="FV A-00006-00002722"/>
    <s v="FV A-00006-00002722.pdf"/>
    <s v="RE R-00008-00003325"/>
    <s v="RE R-00008-00003325.pdf"/>
    <s v="SA"/>
    <n v="130010"/>
    <d v="2025-07-14T00:00:00"/>
    <s v="Gab_Hernandez"/>
    <n v="149852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70"/>
    <n v="140"/>
  </r>
  <r>
    <n v="76736"/>
    <n v="1"/>
    <s v="1"/>
    <x v="15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21"/>
    <s v="FV A-00006-00002721.pdf"/>
    <s v="RE R-00008-00003324"/>
    <s v="RE R-00008-00003324.pdf"/>
    <s v="SA"/>
    <n v="130007"/>
    <d v="2025-07-14T00:00:00"/>
    <s v="Gab_Hernandez"/>
    <n v="149835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70"/>
    <n v="140"/>
  </r>
  <r>
    <n v="76733"/>
    <n v="1"/>
    <s v="1"/>
    <x v="3"/>
    <s v="PEPA      "/>
    <x v="1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720"/>
    <s v="FV A-00006-00002720.pdf"/>
    <s v="RE R-00008-00003323"/>
    <s v="RE R-00008-00003323.pdf"/>
    <s v="SA"/>
    <n v="129985"/>
    <d v="2025-07-14T00:00:00"/>
    <s v="Fer_Cristoforo"/>
    <n v="149828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140"/>
    <n v="280"/>
  </r>
  <r>
    <n v="76715"/>
    <n v="1"/>
    <s v="1"/>
    <x v="16"/>
    <s v="PEPA      "/>
    <x v="1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719"/>
    <s v="FV A-00006-00002719.pdf"/>
    <s v="RE R-00008-00003322"/>
    <s v="RE R-00008-00003322.pdf"/>
    <s v="SA"/>
    <n v="129975"/>
    <d v="2025-07-14T00:00:00"/>
    <s v="Gab_Hernandez"/>
    <n v="149758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140"/>
    <n v="280"/>
  </r>
  <r>
    <n v="76713"/>
    <n v="1"/>
    <s v="2"/>
    <x v="0"/>
    <s v="PEPA      "/>
    <x v="1"/>
    <s v="Pistachos"/>
    <s v="Pistachos                                         "/>
    <n v="70"/>
    <n v="30.35"/>
    <n v="70"/>
    <n v="70"/>
    <n v="700"/>
    <x v="0"/>
    <s v="Pistachos_Garbi               "/>
    <s v="COA"/>
    <s v="FV A-00090-00029820"/>
    <s v="FV A-00090-00029820.pdf"/>
    <s v="RE R-00008-00003330"/>
    <s v="RE R-00008-00003330.pdf"/>
    <s v="SA"/>
    <n v="129974"/>
    <d v="2025-07-25T00:00:00"/>
    <s v="Gab_Hernandez"/>
    <n v="149756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70"/>
    <n v="140"/>
  </r>
  <r>
    <n v="76705"/>
    <n v="1"/>
    <s v="1"/>
    <x v="17"/>
    <s v="PEPA      "/>
    <x v="1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716"/>
    <s v="FV A-00006-00002716(1).pdf"/>
    <s v="RE R-00008-00003319"/>
    <s v="RE R-00008-00003319.pdf"/>
    <s v="SA"/>
    <n v="129954"/>
    <d v="2025-07-14T00:00:00"/>
    <s v="Fer_Cristoforo"/>
    <n v="149712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140"/>
    <n v="280"/>
  </r>
  <r>
    <n v="76701"/>
    <n v="1"/>
    <s v="1"/>
    <x v="18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16"/>
    <s v="FV A-00006-00002716.pdf"/>
    <s v="RE R-00008-00003319"/>
    <s v="RE R-00008-00003319.pdf"/>
    <s v="SA"/>
    <n v="129943"/>
    <d v="2025-07-14T00:00:00"/>
    <s v="Gab_Hernandez"/>
    <n v="149683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70"/>
    <n v="140"/>
  </r>
  <r>
    <n v="76785"/>
    <n v="1"/>
    <s v="1"/>
    <x v="19"/>
    <s v="PEPA      "/>
    <x v="1"/>
    <s v="Pistachos"/>
    <s v="Pistachos                                         "/>
    <n v="70"/>
    <n v="29.7"/>
    <n v="70"/>
    <n v="70"/>
    <n v="700"/>
    <x v="0"/>
    <s v="Pistachos_Garbi               "/>
    <s v="COA"/>
    <s v="FV A-00006-00002726"/>
    <s v="FV A-00006-00002726.pdf"/>
    <s v="RE R-00008-00003329"/>
    <s v="RE R-00008-00003329.pdf"/>
    <s v="SA"/>
    <n v="130191"/>
    <d v="2025-07-15T00:00:00"/>
    <s v="Fer_Cristoforo"/>
    <n v="150094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70"/>
    <n v="140"/>
  </r>
  <r>
    <n v="76756"/>
    <n v="1"/>
    <s v="1"/>
    <x v="20"/>
    <s v="PEPA      "/>
    <x v="1"/>
    <s v="Pistachos"/>
    <s v="Pistachos                                         "/>
    <n v="50"/>
    <n v="31.3"/>
    <n v="50"/>
    <n v="50"/>
    <n v="500"/>
    <x v="0"/>
    <s v="Pistachos_Garbi               "/>
    <s v="COA"/>
    <s v="FV A-00006-00002725"/>
    <s v="FV A-00006-00002725.pdf"/>
    <s v="RE R-00008-00003328"/>
    <s v="RE R-00008-00003328.pdf"/>
    <s v="SA"/>
    <n v="130043"/>
    <d v="2025-07-15T00:00:00"/>
    <s v="Gab_Hernandez"/>
    <n v="149882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50"/>
    <n v="100"/>
  </r>
  <r>
    <n v="76746"/>
    <n v="1"/>
    <s v="2"/>
    <x v="21"/>
    <s v="PEPA      "/>
    <x v="1"/>
    <s v="Pistachos"/>
    <s v="Pistachos                                         "/>
    <n v="70"/>
    <n v="30.35"/>
    <n v="70"/>
    <n v="70"/>
    <n v="700"/>
    <x v="0"/>
    <s v="Pistachos_Garbi               "/>
    <s v="COA"/>
    <s v="FV B-00090-00003711"/>
    <s v="FV B-00090-00003711.pdf"/>
    <s v="RE R-00008-00003339"/>
    <s v="RE R-00008-00003339.pdf"/>
    <s v="SA"/>
    <n v="130015"/>
    <d v="2025-07-25T00:00:00"/>
    <s v="Gab_Hernandez"/>
    <n v="149864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70"/>
    <n v="140"/>
  </r>
  <r>
    <n v="76745"/>
    <n v="1"/>
    <s v="2"/>
    <x v="6"/>
    <s v="PEPA      "/>
    <x v="1"/>
    <s v="Pistachos"/>
    <s v="Pistachos                                         "/>
    <n v="70"/>
    <n v="30.35"/>
    <n v="70"/>
    <n v="70"/>
    <n v="700"/>
    <x v="0"/>
    <s v="Pistachos_Garbi               "/>
    <s v="COA"/>
    <s v="FV A-00090-00029940"/>
    <s v="FV A-00090-00029940.pdf"/>
    <s v="RE R-00008-00003350"/>
    <s v="RE R-00008-00003350.pdf"/>
    <s v="SA"/>
    <n v="130014"/>
    <d v="2025-07-25T00:00:00"/>
    <s v="Gab_Hernandez"/>
    <n v="149862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70"/>
    <n v="140"/>
  </r>
  <r>
    <n v="76745"/>
    <n v="2"/>
    <s v="2"/>
    <x v="6"/>
    <s v="TOST      "/>
    <x v="0"/>
    <s v="Pistachos"/>
    <s v="Pistachos                                         "/>
    <n v="70"/>
    <n v="17.2"/>
    <n v="70"/>
    <n v="70"/>
    <n v="700"/>
    <x v="0"/>
    <s v="Pistachos_Garbi               "/>
    <s v="COA"/>
    <s v="FV A-00090-00029866"/>
    <s v="FV A-00090-00029866.pdf"/>
    <s v="RE R-00008-00003344"/>
    <s v="RE R-00008-00003344.pdf"/>
    <s v="SA"/>
    <n v="130013"/>
    <d v="2025-07-25T00:00:00"/>
    <s v="Gab_Hernandez"/>
    <n v="149863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70"/>
    <n v="140"/>
  </r>
  <r>
    <n v="76744"/>
    <n v="1"/>
    <s v="2"/>
    <x v="22"/>
    <s v="PEPA      "/>
    <x v="1"/>
    <s v="Pistachos"/>
    <s v="Pistachos                                         "/>
    <n v="210"/>
    <n v="26.45"/>
    <n v="210"/>
    <n v="210"/>
    <n v="2100"/>
    <x v="0"/>
    <s v="Pistachos_Garbi               "/>
    <s v="COA"/>
    <s v="FV A-00090-00029850"/>
    <s v="FV A-00090-00029850.pdf"/>
    <s v="RE R-00008-00003340"/>
    <s v="RE R-00008-00003340.pdf"/>
    <s v="SA"/>
    <n v="130012"/>
    <d v="2025-07-25T00:00:00"/>
    <s v="Gab_Hernandez"/>
    <n v="149861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210"/>
    <n v="420"/>
  </r>
  <r>
    <n v="76743"/>
    <n v="1"/>
    <s v="1"/>
    <x v="22"/>
    <s v="PEPA      "/>
    <x v="1"/>
    <s v="Pistachos"/>
    <s v="Pistachos                                         "/>
    <n v="210"/>
    <n v="27.3"/>
    <n v="210"/>
    <n v="210"/>
    <n v="2100"/>
    <x v="0"/>
    <s v="Pistachos_Garbi               "/>
    <s v="COA"/>
    <s v="FV A-00006-00002723"/>
    <s v="FV A-00006-00002723.pdf"/>
    <s v="RE R-00008-00003326"/>
    <s v="RE R-00008-00003326.pdf"/>
    <s v="SA"/>
    <n v="130011"/>
    <d v="2025-07-15T00:00:00"/>
    <s v="Gab_Hernandez"/>
    <n v="149860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210"/>
    <n v="420"/>
  </r>
  <r>
    <n v="77181"/>
    <n v="1"/>
    <s v="1"/>
    <x v="19"/>
    <s v="PEPA      "/>
    <x v="1"/>
    <s v="Pistachos"/>
    <s v="Pistachos                                         "/>
    <n v="70"/>
    <n v="29.7"/>
    <n v="70"/>
    <n v="70"/>
    <n v="700"/>
    <x v="0"/>
    <s v="Pistachos_Garbi               "/>
    <s v="COA"/>
    <s v="FV A-00006-00002726"/>
    <s v="FV A-00006-00002726(1).pdf"/>
    <s v="RE R-00008-00003329"/>
    <s v="RE R-00008-00003329.pdf"/>
    <s v="SA"/>
    <n v="132040"/>
    <d v="2025-07-25T00:00:00"/>
    <s v="Fer_Cristoforo"/>
    <n v="152186"/>
    <d v="2025-07-25T00:00:00"/>
    <d v="2025-07-25T00:00:00"/>
    <d v="2025-07-25T00:00:00"/>
    <d v="2025-07-25T00:00:00"/>
    <d v="2025-07-25T00:00:00"/>
    <d v="2025-07-25T00:00:00"/>
    <d v="2025-07-25T00:00:00"/>
    <m/>
    <m/>
    <m/>
    <m/>
    <m/>
    <m/>
    <s v="Pistachos "/>
    <n v="70"/>
    <n v="140"/>
  </r>
  <r>
    <n v="76804"/>
    <n v="1"/>
    <s v="1"/>
    <x v="1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33"/>
    <s v="FV A-00006-00002733.pdf"/>
    <s v="RE R-00008-00000337"/>
    <s v="RE R-00008-00000337.pdf"/>
    <s v="SA"/>
    <n v="132023"/>
    <d v="2025-07-25T00:00:00"/>
    <s v="Gab_Hernandez"/>
    <n v="150213"/>
    <d v="2025-07-16T00:00:00"/>
    <d v="2025-07-16T00:00:00"/>
    <d v="2025-07-25T00:00:00"/>
    <d v="2025-07-25T00:00:00"/>
    <d v="2025-07-25T00:00:00"/>
    <d v="2025-07-25T00:00:00"/>
    <d v="2025-07-25T00:00:00"/>
    <m/>
    <m/>
    <m/>
    <m/>
    <m/>
    <m/>
    <s v="Pistachos "/>
    <n v="70"/>
    <n v="140"/>
  </r>
  <r>
    <n v="76803"/>
    <n v="1"/>
    <s v="1"/>
    <x v="23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30"/>
    <s v="FV A-00006-00002730.pdf"/>
    <s v="RE R-00008-00003334"/>
    <s v="RE R-00008-00003334.pdf"/>
    <s v="SA"/>
    <n v="132022"/>
    <d v="2025-07-25T00:00:00"/>
    <s v="Gab_Hernandez"/>
    <n v="150212"/>
    <d v="2025-07-16T00:00:00"/>
    <d v="2025-07-16T00:00:00"/>
    <d v="2025-07-25T00:00:00"/>
    <d v="2025-07-25T00:00:00"/>
    <d v="2025-07-25T00:00:00"/>
    <d v="2025-07-25T00:00:00"/>
    <d v="2025-07-25T00:00:00"/>
    <m/>
    <m/>
    <m/>
    <m/>
    <m/>
    <m/>
    <s v="Pistachos "/>
    <n v="70"/>
    <n v="140"/>
  </r>
  <r>
    <n v="76802"/>
    <n v="1"/>
    <s v="1"/>
    <x v="24"/>
    <s v="TOST      "/>
    <x v="0"/>
    <s v="Pistachos"/>
    <s v="Pistachos                                         "/>
    <n v="210"/>
    <n v="17.75"/>
    <n v="210"/>
    <n v="210"/>
    <n v="2100"/>
    <x v="0"/>
    <s v="Pistachos_Garbi               "/>
    <s v="COA"/>
    <s v="FV A-00006-00002729"/>
    <s v="FV A-00006-00002729.pdf"/>
    <s v="RE R-00008-00003333"/>
    <s v="RE R-00008-00003333.pdf"/>
    <s v="SA"/>
    <n v="131995"/>
    <d v="2025-07-25T00:00:00"/>
    <s v="Gab_Hernandez"/>
    <n v="150211"/>
    <d v="2025-07-16T00:00:00"/>
    <d v="2025-07-16T00:00:00"/>
    <d v="2025-07-25T00:00:00"/>
    <d v="2025-07-25T00:00:00"/>
    <d v="2025-07-25T00:00:00"/>
    <d v="2025-07-25T00:00:00"/>
    <d v="2025-07-25T00:00:00"/>
    <m/>
    <m/>
    <m/>
    <m/>
    <m/>
    <m/>
    <s v="Pistachos "/>
    <n v="210"/>
    <n v="420"/>
  </r>
  <r>
    <n v="77591"/>
    <n v="1"/>
    <s v="1"/>
    <x v="25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34"/>
    <s v="FV A-00006-00002734.pdf"/>
    <s v="RE R-00008-00003342"/>
    <s v="RE R-00008-00003342.pdf"/>
    <s v="SA"/>
    <n v="133937"/>
    <d v="2025-08-07T00:00:00"/>
    <s v="Gab_Hernandez"/>
    <n v="154406"/>
    <d v="2025-08-07T00:00:00"/>
    <d v="2025-08-07T00:00:00"/>
    <d v="2025-08-07T00:00:00"/>
    <d v="2025-08-07T00:00:00"/>
    <d v="2025-08-07T00:00:00"/>
    <d v="2025-08-07T00:00:00"/>
    <d v="2025-08-07T00:00:00"/>
    <m/>
    <m/>
    <m/>
    <m/>
    <m/>
    <m/>
    <s v="Pistachos "/>
    <n v="70"/>
    <n v="140"/>
  </r>
  <r>
    <n v="77590"/>
    <n v="1"/>
    <s v="2"/>
    <x v="26"/>
    <s v="TOST      "/>
    <x v="0"/>
    <s v="Pistachos"/>
    <s v="Pistachos                                         "/>
    <n v="70"/>
    <n v="17.2"/>
    <n v="70"/>
    <n v="70"/>
    <n v="700"/>
    <x v="0"/>
    <s v="Pistachos_Garbi               "/>
    <s v="COA"/>
    <s v="FV B-00090-00003712"/>
    <s v="FV B-00090-00003712.pdf"/>
    <s v="RE R-00008-00003347"/>
    <s v="RE R-00008-00003347.pdf"/>
    <s v="SA"/>
    <n v="133938"/>
    <d v="2025-08-07T00:00:00"/>
    <s v="Gab_Hernandez"/>
    <n v="154405"/>
    <d v="2025-08-07T00:00:00"/>
    <d v="2025-08-07T00:00:00"/>
    <d v="2025-08-07T00:00:00"/>
    <d v="2025-08-07T00:00:00"/>
    <d v="2025-08-07T00:00:00"/>
    <d v="2025-08-07T00:00:00"/>
    <d v="2025-08-07T00:00:00"/>
    <m/>
    <m/>
    <m/>
    <m/>
    <m/>
    <m/>
    <s v="Pistachos "/>
    <n v="70"/>
    <n v="140"/>
  </r>
  <r>
    <n v="77582"/>
    <n v="1"/>
    <s v="1"/>
    <x v="27"/>
    <s v="PEPA      "/>
    <x v="1"/>
    <s v="Pistachos"/>
    <s v="Pistachos                                         "/>
    <n v="60"/>
    <n v="36"/>
    <n v="60"/>
    <n v="60"/>
    <n v="600"/>
    <x v="0"/>
    <s v="Pistachos_Garbi               "/>
    <s v="COA"/>
    <s v="FV A-00006-00002751"/>
    <s v="FV A-00006-00002751.pdf"/>
    <s v="RE R-00008-00003367"/>
    <s v="RE R-00008-00003367.pdf"/>
    <s v="SA"/>
    <n v="133896"/>
    <d v="2025-08-07T00:00:00"/>
    <s v="Gab_Hernandez"/>
    <n v="154374"/>
    <d v="2025-08-06T00:00:00"/>
    <d v="2025-08-06T00:00:00"/>
    <d v="2025-08-06T00:00:00"/>
    <d v="2025-08-06T00:00:00"/>
    <d v="2025-08-06T00:00:00"/>
    <d v="2025-08-07T00:00:00"/>
    <d v="2025-08-07T00:00:00"/>
    <m/>
    <m/>
    <m/>
    <m/>
    <m/>
    <m/>
    <s v="Pistachos "/>
    <n v="60"/>
    <n v="120"/>
  </r>
  <r>
    <n v="77581"/>
    <n v="1"/>
    <s v="1"/>
    <x v="28"/>
    <s v="PEPA      "/>
    <x v="1"/>
    <s v="Pistachos"/>
    <s v="Pistachos                                         "/>
    <n v="70"/>
    <n v="36"/>
    <n v="70"/>
    <n v="70"/>
    <n v="700"/>
    <x v="0"/>
    <s v="Pistachos_Garbi               "/>
    <s v="COA"/>
    <s v="FV A-00006-00002748"/>
    <s v="FV A-00006-00002748.pdf"/>
    <s v="RE R-00008-00003364"/>
    <s v="RE R-00008-00003364.pdf"/>
    <s v="SA"/>
    <n v="133897"/>
    <d v="2025-08-07T00:00:00"/>
    <s v="Gab_Hernandez"/>
    <n v="154373"/>
    <d v="2025-08-06T00:00:00"/>
    <d v="2025-08-06T00:00:00"/>
    <d v="2025-08-06T00:00:00"/>
    <d v="2025-08-06T00:00:00"/>
    <d v="2025-08-06T00:00:00"/>
    <d v="2025-08-07T00:00:00"/>
    <d v="2025-08-07T00:00:00"/>
    <m/>
    <m/>
    <m/>
    <m/>
    <m/>
    <m/>
    <s v="Pistachos "/>
    <n v="70"/>
    <n v="140"/>
  </r>
  <r>
    <n v="77580"/>
    <n v="1"/>
    <s v="1"/>
    <x v="29"/>
    <s v="PEPA      "/>
    <x v="1"/>
    <s v="Pistachos"/>
    <s v="Pistachos                                         "/>
    <n v="70"/>
    <n v="37"/>
    <n v="70"/>
    <n v="70"/>
    <n v="700"/>
    <x v="0"/>
    <s v="Pistachos_Garbi               "/>
    <s v="COA"/>
    <s v="FV A-00006-00002747"/>
    <s v="FV A-00006-00002747.pdf"/>
    <s v="RE R-00008-00003363"/>
    <s v="RE R-00008-00003363.pdf"/>
    <s v="SA"/>
    <n v="133899"/>
    <d v="2025-08-07T00:00:00"/>
    <s v="Gab_Hernandez"/>
    <n v="154372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70"/>
    <n v="140"/>
  </r>
  <r>
    <n v="77579"/>
    <n v="1"/>
    <s v="1"/>
    <x v="30"/>
    <s v="PEPA      "/>
    <x v="1"/>
    <s v="Pistachos"/>
    <s v="Pistachos                                         "/>
    <n v="70"/>
    <n v="37"/>
    <n v="70"/>
    <n v="70"/>
    <n v="700"/>
    <x v="0"/>
    <s v="Pistachos_Garbi               "/>
    <s v="COA"/>
    <s v="FV A-00006-00002746"/>
    <s v="FV A-00006-00002746.pdf"/>
    <s v="RE R-00008-00003362"/>
    <s v="RE R-00008-00003362.pdf"/>
    <s v="SA"/>
    <n v="133898"/>
    <d v="2025-08-07T00:00:00"/>
    <s v="Gab_Hernandez"/>
    <n v="154371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70"/>
    <n v="140"/>
  </r>
  <r>
    <n v="77576"/>
    <n v="1"/>
    <s v="1"/>
    <x v="31"/>
    <s v="PEPA      "/>
    <x v="1"/>
    <s v="Pistachos"/>
    <s v="Pistachos                                         "/>
    <n v="70"/>
    <n v="37"/>
    <n v="70"/>
    <n v="70"/>
    <n v="700"/>
    <x v="0"/>
    <s v="Pistachos_Garbi               "/>
    <s v="COA"/>
    <s v="FV A-00006-00002745"/>
    <s v="FV A-00006-00002745.pdf"/>
    <s v="RE R-00008-00003361"/>
    <s v="RE R-00008-00003361.pdf"/>
    <s v="SA"/>
    <n v="133900"/>
    <d v="2025-08-07T00:00:00"/>
    <s v="Gab_Hernandez"/>
    <n v="154336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70"/>
    <n v="140"/>
  </r>
  <r>
    <n v="77574"/>
    <n v="1"/>
    <s v="1"/>
    <x v="32"/>
    <s v="PEPA      "/>
    <x v="1"/>
    <s v="Pistachos"/>
    <s v="Pistachos                                         "/>
    <n v="140"/>
    <n v="37"/>
    <n v="140"/>
    <n v="140"/>
    <n v="1400"/>
    <x v="0"/>
    <s v="Pistachos_Garbi               "/>
    <s v="COA"/>
    <s v="FV A-00006-00002743"/>
    <s v="FV A-00006-00002743.pdf"/>
    <s v="RE R-00008-00003359"/>
    <s v="RE R-00008-00003359.pdf"/>
    <s v="SA"/>
    <n v="133901"/>
    <d v="2025-08-07T00:00:00"/>
    <s v="Gab_Hernandez"/>
    <n v="154332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140"/>
    <n v="280"/>
  </r>
  <r>
    <n v="77571"/>
    <n v="1"/>
    <s v="2"/>
    <x v="33"/>
    <s v="PEPA      "/>
    <x v="1"/>
    <s v="Pistachos"/>
    <s v="Pistachos                                         "/>
    <n v="210"/>
    <n v="35.89"/>
    <n v="210"/>
    <n v="210"/>
    <n v="2100"/>
    <x v="0"/>
    <s v="Pistachos_Garbi               "/>
    <s v="COA"/>
    <s v="FV A-00090-00030102"/>
    <s v="FV A-00090-00030102.pdf"/>
    <s v="RE R-00008-00003368"/>
    <s v="RE R-00008-00003368.pdf"/>
    <s v="SA"/>
    <n v="133902"/>
    <d v="2025-08-07T00:00:00"/>
    <s v="Gab_Hernandez"/>
    <n v="154313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210"/>
    <n v="420"/>
  </r>
  <r>
    <n v="77570"/>
    <n v="1"/>
    <s v="1"/>
    <x v="33"/>
    <s v="PEPA      "/>
    <x v="1"/>
    <s v="Pistachos"/>
    <s v="Pistachos                                         "/>
    <n v="140"/>
    <n v="37"/>
    <n v="140"/>
    <n v="140"/>
    <n v="1400"/>
    <x v="0"/>
    <s v="Pistachos_Garbi               "/>
    <s v="COA"/>
    <s v="FV A-00006-00002742"/>
    <s v="FV A-00006-00002742.pdf"/>
    <s v="RE R-00008-00003358"/>
    <s v="RE R-00008-00003358.pdf"/>
    <s v="SA"/>
    <n v="133903"/>
    <d v="2025-08-07T00:00:00"/>
    <s v="Gab_Hernandez"/>
    <n v="154312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140"/>
    <n v="280"/>
  </r>
  <r>
    <n v="77569"/>
    <n v="1"/>
    <s v="1"/>
    <x v="11"/>
    <s v="PEPA      "/>
    <x v="1"/>
    <s v="Pistachos"/>
    <s v="Pistachos                                         "/>
    <n v="420"/>
    <n v="31.3"/>
    <n v="420"/>
    <n v="420"/>
    <n v="4200"/>
    <x v="0"/>
    <s v="Pistachos_Garbi               "/>
    <s v="COA"/>
    <s v="FV A-00006-00002741"/>
    <s v="FV A-00006-00002741.pdf"/>
    <s v="RE R-00008-00003356"/>
    <s v="RE R-00008-00003356.pdf"/>
    <s v="SA"/>
    <n v="133904"/>
    <d v="2025-08-07T00:00:00"/>
    <s v="Gab_Hernandez"/>
    <n v="154311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420"/>
    <n v="840"/>
  </r>
  <r>
    <n v="77568"/>
    <n v="1"/>
    <s v="2"/>
    <x v="22"/>
    <s v="PEPA      "/>
    <x v="1"/>
    <s v="Pistachos"/>
    <s v="Pistachos                                         "/>
    <n v="210"/>
    <n v="27.15"/>
    <n v="210"/>
    <n v="210"/>
    <n v="2100"/>
    <x v="0"/>
    <s v="Pistachos_Garbi               "/>
    <s v="COA"/>
    <s v="FV A-00006-00002755"/>
    <s v="FV A-00006-00002755(1).pdf"/>
    <s v="RE R-00008-00003373"/>
    <s v="RE R-00008-00003373.pdf"/>
    <s v="SA"/>
    <n v="133905"/>
    <d v="2025-08-12T00:00:00"/>
    <s v="Gab_Hernandez"/>
    <n v="154310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210"/>
    <n v="420"/>
  </r>
  <r>
    <n v="77567"/>
    <n v="1"/>
    <s v="1"/>
    <x v="22"/>
    <s v="PEPA      "/>
    <x v="1"/>
    <s v="Pistachos"/>
    <s v="Pistachos                                         "/>
    <n v="210"/>
    <n v="28"/>
    <n v="210"/>
    <n v="210"/>
    <n v="2100"/>
    <x v="0"/>
    <s v="Pistachos_Garbi               "/>
    <s v="COA"/>
    <s v="FV A-00006-00002750"/>
    <s v="FV A-00006-00002750.pdf"/>
    <s v="RE R-00008-00003366"/>
    <s v="RE R-00008-00003366.pdf"/>
    <s v="SA"/>
    <n v="133906"/>
    <d v="2025-08-07T00:00:00"/>
    <s v="Gab_Hernandez"/>
    <n v="154309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210"/>
    <n v="420"/>
  </r>
  <r>
    <n v="77694"/>
    <n v="2"/>
    <s v="1"/>
    <x v="34"/>
    <s v="TOST      "/>
    <x v="0"/>
    <s v="Pistachos"/>
    <s v="Pistachos                                         "/>
    <n v="115"/>
    <n v="14.75"/>
    <n v="115"/>
    <n v="115"/>
    <n v="1150"/>
    <x v="0"/>
    <s v="Pistachos_Garbi               "/>
    <s v="COA"/>
    <s v="FV A-00060-00002688"/>
    <s v="FV A-00060-00002688(1).pdf"/>
    <s v="RE R-00008-00003266"/>
    <s v="RE R-00008-00003266.pdf"/>
    <s v="SA"/>
    <n v="134327"/>
    <d v="2025-08-11T00:00:00"/>
    <s v="Gab_Hernandez"/>
    <n v="154703"/>
    <d v="2025-08-08T00:00:00"/>
    <d v="2025-08-08T00:00:00"/>
    <d v="2025-08-11T00:00:00"/>
    <d v="2025-08-11T00:00:00"/>
    <d v="2025-08-11T00:00:00"/>
    <d v="2025-08-11T00:00:00"/>
    <d v="2025-08-11T00:00:00"/>
    <m/>
    <m/>
    <m/>
    <m/>
    <m/>
    <m/>
    <s v="Pistachos "/>
    <n v="115"/>
    <n v="230"/>
  </r>
  <r>
    <n v="77694"/>
    <n v="1"/>
    <s v="1"/>
    <x v="34"/>
    <s v="PEPA      "/>
    <x v="1"/>
    <s v="Pistachos"/>
    <s v="Pistachos                                         "/>
    <n v="33"/>
    <n v="26.3"/>
    <n v="33"/>
    <n v="33"/>
    <n v="330"/>
    <x v="0"/>
    <s v="Pistachos_Garbi               "/>
    <s v="COA"/>
    <s v="FV A-00060-00002688"/>
    <s v="FV A-00060-00002688.pdf"/>
    <s v="RE R-00008-00003266"/>
    <s v="RE R-00008-00003266.pdf"/>
    <s v="SA"/>
    <n v="134330"/>
    <d v="2025-08-11T00:00:00"/>
    <s v="Gab_Hernandez"/>
    <n v="154702"/>
    <d v="2025-08-08T00:00:00"/>
    <d v="2025-08-11T00:00:00"/>
    <d v="2025-08-11T00:00:00"/>
    <d v="2025-08-11T00:00:00"/>
    <d v="2025-08-11T00:00:00"/>
    <d v="2025-08-11T00:00:00"/>
    <d v="2025-08-11T00:00:00"/>
    <m/>
    <m/>
    <m/>
    <m/>
    <m/>
    <m/>
    <s v="Pistachos "/>
    <n v="33"/>
    <n v="66"/>
  </r>
  <r>
    <n v="77693"/>
    <n v="1"/>
    <s v="1"/>
    <x v="35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96"/>
    <s v="FV A-00006-00002696.pdf"/>
    <s v="RE R-00008-00003277"/>
    <s v="RE R-00008-00003277.pdf"/>
    <s v="SA"/>
    <n v="134334"/>
    <d v="2025-08-11T00:00:00"/>
    <s v="Gab_Hernandez"/>
    <n v="154701"/>
    <d v="2025-08-08T00:00:00"/>
    <d v="2025-08-08T00:00:00"/>
    <d v="2025-08-11T00:00:00"/>
    <d v="2025-08-11T00:00:00"/>
    <d v="2025-08-11T00:00:00"/>
    <d v="2025-08-11T00:00:00"/>
    <d v="2025-08-11T00:00:00"/>
    <m/>
    <m/>
    <m/>
    <m/>
    <m/>
    <m/>
    <s v="Pistachos "/>
    <n v="70"/>
    <n v="140"/>
  </r>
  <r>
    <n v="77692"/>
    <n v="1"/>
    <s v="1"/>
    <x v="36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97"/>
    <s v="FV A-00006-00002697.pdf"/>
    <s v="RE R-00008-00003278"/>
    <s v="RE R-00008-00003278.pdf"/>
    <s v="SA"/>
    <n v="134341"/>
    <d v="2025-08-11T00:00:00"/>
    <s v="Gab_Hernandez"/>
    <n v="154700"/>
    <d v="2025-08-08T00:00:00"/>
    <d v="2025-08-08T00:00:00"/>
    <d v="2025-08-11T00:00:00"/>
    <d v="2025-08-11T00:00:00"/>
    <d v="2025-08-11T00:00:00"/>
    <d v="2025-08-11T00:00:00"/>
    <d v="2025-08-11T00:00:00"/>
    <m/>
    <m/>
    <m/>
    <m/>
    <m/>
    <m/>
    <s v="Pistachos "/>
    <n v="70"/>
    <n v="140"/>
  </r>
  <r>
    <n v="77414"/>
    <n v="1"/>
    <s v="1"/>
    <x v="20"/>
    <s v="PEPATOS   "/>
    <x v="3"/>
    <s v="Pistachos"/>
    <s v="Pistachos                                         "/>
    <n v="20"/>
    <n v="26.9"/>
    <n v="20"/>
    <n v="20"/>
    <n v="200"/>
    <x v="0"/>
    <s v="Pistachos_Garbi               "/>
    <s v="COA"/>
    <s v="FV A-00006-00002628"/>
    <s v="FV A-00006-00002628(2).pdf"/>
    <s v="RE R-00008-00003193"/>
    <s v="RE R-00008-00003193.pdf"/>
    <s v="SA"/>
    <n v="134333"/>
    <d v="2025-08-11T00:00:00"/>
    <s v="Gab_Hernandez"/>
    <n v="153397"/>
    <d v="2025-08-01T00:00:00"/>
    <d v="2025-08-01T00:00:00"/>
    <d v="2025-08-07T00:00:00"/>
    <d v="2025-08-11T00:00:00"/>
    <d v="2025-08-11T00:00:00"/>
    <d v="2025-08-11T00:00:00"/>
    <d v="2025-08-11T00:00:00"/>
    <m/>
    <m/>
    <m/>
    <m/>
    <m/>
    <m/>
    <s v="Pistachos "/>
    <n v="20"/>
    <n v="40"/>
  </r>
  <r>
    <n v="77414"/>
    <n v="2"/>
    <s v="1"/>
    <x v="20"/>
    <s v="PEPA      "/>
    <x v="1"/>
    <s v="Pistachos"/>
    <s v="Pistachos                                         "/>
    <n v="15"/>
    <n v="26.3"/>
    <n v="15"/>
    <n v="15"/>
    <n v="150"/>
    <x v="0"/>
    <s v="Pistachos_Garbi               "/>
    <s v="COA"/>
    <s v="FV A-00006-00002628"/>
    <s v="FV A-00006-00002628(1).pdf"/>
    <s v="RE R-00008-00003193"/>
    <s v="RE R-00008-00003193.pdf"/>
    <s v="SA"/>
    <n v="134332"/>
    <d v="2025-08-11T00:00:00"/>
    <s v="Gab_Hernandez"/>
    <n v="153406"/>
    <d v="2025-08-01T00:00:00"/>
    <d v="2025-08-01T00:00:00"/>
    <d v="2025-08-07T00:00:00"/>
    <d v="2025-08-11T00:00:00"/>
    <d v="2025-08-11T00:00:00"/>
    <d v="2025-08-11T00:00:00"/>
    <d v="2025-08-11T00:00:00"/>
    <m/>
    <m/>
    <m/>
    <m/>
    <m/>
    <m/>
    <s v="Pistachos "/>
    <n v="15"/>
    <n v="30"/>
  </r>
  <r>
    <n v="77414"/>
    <n v="3"/>
    <s v="1"/>
    <x v="20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28"/>
    <s v="FV A-00006-00002628.pdf"/>
    <s v="RE R-00008-00003193"/>
    <s v="RE R-00008-00003193.pdf"/>
    <s v="SA"/>
    <n v="134331"/>
    <d v="2025-08-11T00:00:00"/>
    <s v="Gab_Hernandez"/>
    <n v="153407"/>
    <d v="2025-08-01T00:00:00"/>
    <d v="2025-08-01T00:00:00"/>
    <d v="2025-08-07T00:00:00"/>
    <d v="2025-08-11T00:00:00"/>
    <d v="2025-08-11T00:00:00"/>
    <d v="2025-08-11T00:00:00"/>
    <d v="2025-08-11T00:00:00"/>
    <m/>
    <m/>
    <m/>
    <m/>
    <m/>
    <m/>
    <s v="Pistachos "/>
    <n v="70"/>
    <n v="140"/>
  </r>
  <r>
    <n v="77767"/>
    <n v="1"/>
    <s v="1"/>
    <x v="22"/>
    <s v="PIST002   "/>
    <x v="2"/>
    <s v="Pistachos"/>
    <s v="Pistachos                                         "/>
    <n v="210"/>
    <n v="28"/>
    <n v="210"/>
    <n v="210"/>
    <n v="2100"/>
    <x v="0"/>
    <s v="Pistachos_Garbi               "/>
    <s v="COA"/>
    <s v="FV A-00006-00002755"/>
    <s v="FV A-00006-00002755.pdf"/>
    <s v="RE R-00008-00003373"/>
    <s v="RE R-00008-00003373.pdf"/>
    <s v="SA"/>
    <n v="134555"/>
    <d v="2025-08-12T00:00:00"/>
    <s v="Gab_Hernandez"/>
    <n v="155023"/>
    <d v="2025-08-12T00:00:00"/>
    <d v="2025-08-12T00:00:00"/>
    <d v="2025-08-12T00:00:00"/>
    <d v="2025-08-12T00:00:00"/>
    <d v="2025-08-12T00:00:00"/>
    <d v="2025-08-12T00:00:00"/>
    <d v="2025-08-12T00:00:00"/>
    <m/>
    <m/>
    <m/>
    <m/>
    <m/>
    <m/>
    <s v="Pistachos "/>
    <n v="210"/>
    <n v="420"/>
  </r>
  <r>
    <n v="77754"/>
    <n v="2"/>
    <s v="2"/>
    <x v="5"/>
    <s v="PEPA      "/>
    <x v="1"/>
    <s v="Pistachos"/>
    <s v="Pistachos                                         "/>
    <n v="20"/>
    <n v="35.89"/>
    <n v="20"/>
    <n v="20"/>
    <n v="200"/>
    <x v="0"/>
    <s v="Pistachos_Garbi               "/>
    <s v="COA"/>
    <s v="FV B-00090-00003766"/>
    <s v="FV B-00090-00003766.pdf"/>
    <s v="RE R-00008-00003372"/>
    <s v="RE R-00008-00003372.pdf"/>
    <s v="SA"/>
    <n v="134471"/>
    <d v="2025-08-12T00:00:00"/>
    <s v="Gab_Hernandez"/>
    <n v="155000"/>
    <d v="2025-08-12T00:00:00"/>
    <d v="2025-08-12T00:00:00"/>
    <d v="2025-08-12T00:00:00"/>
    <d v="2025-08-12T00:00:00"/>
    <d v="2025-08-12T00:00:00"/>
    <d v="2025-08-12T00:00:00"/>
    <d v="2025-08-12T00:00:00"/>
    <m/>
    <m/>
    <m/>
    <m/>
    <m/>
    <m/>
    <s v="Pistachos "/>
    <n v="20"/>
    <n v="40"/>
  </r>
  <r>
    <n v="77754"/>
    <n v="1"/>
    <s v="2"/>
    <x v="5"/>
    <s v="TOST      "/>
    <x v="0"/>
    <s v="Pistachos"/>
    <s v="Pistachos                                         "/>
    <n v="20"/>
    <n v="20.149999999999999"/>
    <n v="20"/>
    <n v="20"/>
    <n v="200"/>
    <x v="0"/>
    <s v="Pistachos_Garbi               "/>
    <s v="COA"/>
    <s v="FV B-00090-00003766"/>
    <s v="FV B-00090-00003766(1).pdf"/>
    <s v="RE R-00008-00003372"/>
    <s v="RE R-00008-00003372.pdf"/>
    <s v="SA"/>
    <n v="134472"/>
    <d v="2025-08-12T00:00:00"/>
    <s v="Gab_Hernandez"/>
    <n v="154999"/>
    <d v="2025-08-12T00:00:00"/>
    <d v="2025-08-12T00:00:00"/>
    <d v="2025-08-12T00:00:00"/>
    <d v="2025-08-12T00:00:00"/>
    <d v="2025-08-12T00:00:00"/>
    <d v="2025-08-12T00:00:00"/>
    <d v="2025-08-12T00:00:00"/>
    <m/>
    <m/>
    <m/>
    <m/>
    <m/>
    <m/>
    <s v="Pistachos "/>
    <n v="20"/>
    <n v="40"/>
  </r>
  <r>
    <n v="77734"/>
    <n v="3"/>
    <s v="1"/>
    <x v="37"/>
    <s v="PIST004   "/>
    <x v="4"/>
    <s v="Pistachos"/>
    <s v="Pistachos                                         "/>
    <n v="140"/>
    <n v="29.9"/>
    <n v="140"/>
    <n v="140"/>
    <n v="1400"/>
    <x v="0"/>
    <s v="Pistachos_Garbi               "/>
    <s v="COA"/>
    <s v="FV A-00006-00002752"/>
    <s v="FV A-00006-00002752.pdf"/>
    <s v="RE R-00008-00003369"/>
    <s v="RE R-00008-00003369.pdf"/>
    <s v="SA"/>
    <n v="134456"/>
    <d v="2025-08-12T00:00:00"/>
    <s v="Gab_Hernandez"/>
    <n v="154905"/>
    <d v="2025-08-12T00:00:00"/>
    <d v="2025-08-12T00:00:00"/>
    <d v="2025-08-12T00:00:00"/>
    <d v="2025-08-12T00:00:00"/>
    <d v="2025-08-12T00:00:00"/>
    <d v="2025-08-12T00:00:00"/>
    <d v="2025-08-12T00:00:00"/>
    <m/>
    <m/>
    <m/>
    <m/>
    <m/>
    <m/>
    <s v="Pistachos "/>
    <n v="140"/>
    <n v="280"/>
  </r>
  <r>
    <n v="77734"/>
    <n v="2"/>
    <s v="1"/>
    <x v="37"/>
    <s v="PIST004   "/>
    <x v="4"/>
    <s v="Pistachos"/>
    <s v="Pistachos                                         "/>
    <n v="840"/>
    <n v="28.9"/>
    <n v="840"/>
    <n v="840"/>
    <n v="8400"/>
    <x v="0"/>
    <s v="Pistachos_Garbi               "/>
    <s v="COA"/>
    <s v="FV A-00006-00002753"/>
    <s v="FV A-00006-00002753.pdf"/>
    <s v="RE R-00008-00003370"/>
    <s v="RE R-00008-00003370.pdf"/>
    <s v="SA"/>
    <n v="134455"/>
    <d v="2025-08-12T00:00:00"/>
    <s v="Gab_Hernandez"/>
    <n v="154904"/>
    <d v="2025-08-12T00:00:00"/>
    <d v="2025-08-12T00:00:00"/>
    <d v="2025-08-12T00:00:00"/>
    <d v="2025-08-12T00:00:00"/>
    <d v="2025-08-12T00:00:00"/>
    <d v="2025-08-12T00:00:00"/>
    <d v="2025-08-12T00:00:00"/>
    <m/>
    <m/>
    <m/>
    <m/>
    <m/>
    <m/>
    <s v="Pistachos "/>
    <n v="840"/>
    <n v="1680"/>
  </r>
  <r>
    <n v="77734"/>
    <n v="1"/>
    <s v="1"/>
    <x v="37"/>
    <s v="PIST004   "/>
    <x v="4"/>
    <s v="Pistachos"/>
    <s v="Pistachos                                         "/>
    <n v="210"/>
    <n v="27.9"/>
    <n v="210"/>
    <n v="210"/>
    <n v="2100"/>
    <x v="0"/>
    <s v="Pistachos_Garbi               "/>
    <s v="COA"/>
    <s v="FV A-00006-00002754"/>
    <s v="FV A-00006-00002754.pdf"/>
    <s v="RE R-00008-00003371"/>
    <s v="RE R-00008-00003371.pdf"/>
    <s v="SA"/>
    <n v="134454"/>
    <d v="2025-08-12T00:00:00"/>
    <s v="Gab_Hernandez"/>
    <n v="154901"/>
    <d v="2025-08-12T00:00:00"/>
    <d v="2025-08-12T00:00:00"/>
    <d v="2025-08-12T00:00:00"/>
    <d v="2025-08-12T00:00:00"/>
    <d v="2025-08-12T00:00:00"/>
    <d v="2025-08-12T00:00:00"/>
    <d v="2025-08-12T00:00:00"/>
    <m/>
    <m/>
    <m/>
    <m/>
    <m/>
    <m/>
    <s v="Pistachos "/>
    <n v="210"/>
    <n v="420"/>
  </r>
  <r>
    <n v="77691"/>
    <n v="1"/>
    <s v="1"/>
    <x v="38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98"/>
    <s v="FV A-00006-00002698.pdf"/>
    <s v="RE R-00008-00003279"/>
    <s v="RE R-00008-00003279.pdf"/>
    <s v="SA"/>
    <n v="134562"/>
    <d v="2025-08-14T00:00:00"/>
    <s v="Gab_Hernandez"/>
    <n v="154699"/>
    <d v="2025-08-08T00:00:00"/>
    <d v="2025-08-08T00:00:00"/>
    <d v="2025-08-12T00:00:00"/>
    <d v="2025-08-12T00:00:00"/>
    <d v="2025-08-12T00:00:00"/>
    <d v="2025-08-12T00:00:00"/>
    <d v="2025-08-12T00:00:00"/>
    <m/>
    <m/>
    <m/>
    <m/>
    <m/>
    <m/>
    <s v="Pistachos "/>
    <n v="70"/>
    <n v="140"/>
  </r>
  <r>
    <n v="77690"/>
    <n v="1"/>
    <s v="1"/>
    <x v="39"/>
    <s v="TOST      "/>
    <x v="0"/>
    <s v="Pistachos"/>
    <s v="Pistachos                                         "/>
    <n v="140"/>
    <n v="14.75"/>
    <n v="140"/>
    <n v="140"/>
    <n v="1400"/>
    <x v="0"/>
    <s v="Pistachos_Garbi               "/>
    <s v="COA"/>
    <s v="FV A-00006-00002669"/>
    <s v="FV A-00006-00002669.pdf"/>
    <s v="RE R-00008-00003241"/>
    <s v="RE R-00008-00003241.pdf"/>
    <s v="SA"/>
    <n v="134563"/>
    <d v="2025-08-14T00:00:00"/>
    <s v="Gab_Hernandez"/>
    <n v="154698"/>
    <d v="2025-08-08T00:00:00"/>
    <d v="2025-08-08T00:00:00"/>
    <d v="2025-08-12T00:00:00"/>
    <d v="2025-08-12T00:00:00"/>
    <d v="2025-08-12T00:00:00"/>
    <d v="2025-08-12T00:00:00"/>
    <d v="2025-08-12T00:00:00"/>
    <m/>
    <m/>
    <m/>
    <m/>
    <m/>
    <m/>
    <s v="Pistachos "/>
    <n v="140"/>
    <n v="280"/>
  </r>
  <r>
    <n v="77689"/>
    <n v="1"/>
    <s v="1"/>
    <x v="40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67"/>
    <s v="FV A-00006-00002667.pdf"/>
    <s v="RE R-00008-00003229"/>
    <s v="RE R-00008-00003229.pdf"/>
    <s v="SA"/>
    <n v="134564"/>
    <d v="2025-08-14T00:00:00"/>
    <s v="Gab_Hernandez"/>
    <n v="154697"/>
    <d v="2025-08-08T00:00:00"/>
    <d v="2025-08-08T00:00:00"/>
    <d v="2025-08-12T00:00:00"/>
    <d v="2025-08-12T00:00:00"/>
    <d v="2025-08-12T00:00:00"/>
    <d v="2025-08-12T00:00:00"/>
    <d v="2025-08-12T00:00:00"/>
    <m/>
    <m/>
    <m/>
    <m/>
    <m/>
    <m/>
    <s v="Pistachos "/>
    <n v="70"/>
    <n v="140"/>
  </r>
  <r>
    <n v="77688"/>
    <n v="1"/>
    <s v="1"/>
    <x v="41"/>
    <s v="TOST      "/>
    <x v="0"/>
    <s v="Pistachos"/>
    <s v="Pistachos                                         "/>
    <n v="35"/>
    <n v="14.75"/>
    <n v="35"/>
    <n v="35"/>
    <n v="350"/>
    <x v="0"/>
    <s v="Pistachos_Garbi               "/>
    <s v="COA"/>
    <s v="FV A-00006-00002670"/>
    <s v="FV A-00006-00002670.pdf"/>
    <s v="RE R-00008-00003242"/>
    <s v="RE R-00008-00003242.pdf"/>
    <s v="SA"/>
    <n v="134565"/>
    <d v="2025-08-14T00:00:00"/>
    <s v="Gab_Hernandez"/>
    <n v="154696"/>
    <d v="2025-08-08T00:00:00"/>
    <d v="2025-08-08T00:00:00"/>
    <d v="2025-08-12T00:00:00"/>
    <d v="2025-08-12T00:00:00"/>
    <d v="2025-08-12T00:00:00"/>
    <d v="2025-08-12T00:00:00"/>
    <d v="2025-08-12T00:00:00"/>
    <m/>
    <m/>
    <m/>
    <m/>
    <m/>
    <m/>
    <s v="Pistachos "/>
    <n v="35"/>
    <n v="70"/>
  </r>
  <r>
    <n v="77687"/>
    <n v="1"/>
    <s v="1"/>
    <x v="42"/>
    <s v="TOST      "/>
    <x v="0"/>
    <s v="Pistachos"/>
    <s v="Pistachos                                         "/>
    <n v="140"/>
    <n v="14.75"/>
    <n v="140"/>
    <n v="140"/>
    <n v="1400"/>
    <x v="0"/>
    <s v="Pistachos_Garbi               "/>
    <s v="COA"/>
    <s v="FV B-00090-00003641"/>
    <s v="FV B-00090-00003641.pdf"/>
    <s v="RE R-00008-00003282"/>
    <s v="RE R-00008-00003282.pdf"/>
    <s v="SA"/>
    <n v="134566"/>
    <d v="2025-08-14T00:00:00"/>
    <s v="Gab_Hernandez"/>
    <n v="154695"/>
    <d v="2025-08-08T00:00:00"/>
    <d v="2025-08-08T00:00:00"/>
    <d v="2025-08-12T00:00:00"/>
    <d v="2025-08-12T00:00:00"/>
    <d v="2025-08-12T00:00:00"/>
    <d v="2025-08-12T00:00:00"/>
    <d v="2025-08-12T00:00:00"/>
    <m/>
    <m/>
    <m/>
    <m/>
    <m/>
    <m/>
    <s v="Pistachos "/>
    <n v="140"/>
    <n v="280"/>
  </r>
  <r>
    <n v="77686"/>
    <n v="1"/>
    <s v="1"/>
    <x v="43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89"/>
    <s v="FV A-00006-00002689.pdf"/>
    <s v="RE R-00008-00003270"/>
    <s v="RE R-00008-00003270.pdf"/>
    <s v="SA"/>
    <n v="134672"/>
    <d v="2025-08-14T00:00:00"/>
    <s v="Gab_Hernandez"/>
    <n v="15469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85"/>
    <n v="1"/>
    <s v="1"/>
    <x v="44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61"/>
    <s v="FV A-00006-00002661.pdf"/>
    <s v="RE R-00008-00003233"/>
    <s v="RE R-00008-00003233.pdf"/>
    <s v="SA"/>
    <n v="134673"/>
    <d v="2025-08-14T00:00:00"/>
    <s v="Gab_Hernandez"/>
    <n v="154693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84"/>
    <n v="2"/>
    <s v="1"/>
    <x v="45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27"/>
    <s v="FV A-00006-00002627.pdf"/>
    <s v="RE R-00008-00003192"/>
    <s v="RE R-00008-00003192.pdf"/>
    <s v="SA"/>
    <n v="134674"/>
    <d v="2025-08-14T00:00:00"/>
    <s v="Gab_Hernandez"/>
    <n v="154692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84"/>
    <n v="1"/>
    <s v="1"/>
    <x v="45"/>
    <s v="PEPA      "/>
    <x v="1"/>
    <s v="Pistachos"/>
    <s v="Pistachos                                         "/>
    <n v="50"/>
    <n v="26.3"/>
    <n v="50"/>
    <n v="50"/>
    <n v="500"/>
    <x v="0"/>
    <s v="Pistachos_Garbi               "/>
    <s v="COA"/>
    <s v="FV A-00006-00002668"/>
    <s v="FV A-00006-00002668.pdf"/>
    <s v="RE R-00008-00003240"/>
    <s v="RE R-00008-00003240.pdf"/>
    <s v="SA"/>
    <n v="134675"/>
    <d v="2025-08-14T00:00:00"/>
    <s v="Gab_Hernandez"/>
    <n v="154691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50"/>
    <n v="100"/>
  </r>
  <r>
    <n v="77683"/>
    <n v="1"/>
    <s v="1"/>
    <x v="46"/>
    <s v="TOST      "/>
    <x v="0"/>
    <s v="Pistachos"/>
    <s v="Pistachos                                         "/>
    <n v="140"/>
    <n v="14.75"/>
    <n v="140"/>
    <n v="140"/>
    <n v="1400"/>
    <x v="0"/>
    <s v="Pistachos_Garbi               "/>
    <s v="COA"/>
    <s v="FV A-00006-00002701"/>
    <s v="FV A-00006-00002701.pdf"/>
    <s v="RE R-00008-00003284"/>
    <s v="RE R-00008-00003284.pdf"/>
    <s v="SA"/>
    <n v="134676"/>
    <d v="2025-08-14T00:00:00"/>
    <s v="Gab_Hernandez"/>
    <n v="154690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40"/>
    <n v="280"/>
  </r>
  <r>
    <n v="77682"/>
    <n v="1"/>
    <s v="1"/>
    <x v="47"/>
    <s v="TOST      "/>
    <x v="0"/>
    <s v="Pistachos"/>
    <s v="Pistachos                                         "/>
    <n v="10"/>
    <n v="14.75"/>
    <n v="10"/>
    <n v="10"/>
    <n v="100"/>
    <x v="0"/>
    <s v="Pistachos_Garbi               "/>
    <s v="COA"/>
    <s v="FV A-00006-00002656"/>
    <s v="FV A-00006-00002656.pdf"/>
    <s v="RE R-00008-00003228"/>
    <s v="RE R-00008-00003228.pdf"/>
    <s v="SA"/>
    <n v="134677"/>
    <d v="2025-08-14T00:00:00"/>
    <s v="Gab_Hernandez"/>
    <n v="154689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0"/>
    <n v="20"/>
  </r>
  <r>
    <n v="77681"/>
    <n v="1"/>
    <s v="1"/>
    <x v="48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99"/>
    <s v="FV A-00006-00002699.pdf"/>
    <s v="RE R-00008-00003280"/>
    <s v="RE R-00008-00003280.pdf"/>
    <s v="SA"/>
    <n v="134678"/>
    <d v="2025-08-14T00:00:00"/>
    <s v="Gab_Hernandez"/>
    <n v="154688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80"/>
    <n v="1"/>
    <s v="1"/>
    <x v="49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45"/>
    <s v="FV A-00006-00002645.pdf"/>
    <s v="RE R-00008-00003217"/>
    <s v="RE R-00008-00003217.pdf"/>
    <s v="SA"/>
    <n v="134679"/>
    <d v="2025-08-14T00:00:00"/>
    <s v="Gab_Hernandez"/>
    <n v="154687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79"/>
    <n v="1"/>
    <s v="1"/>
    <x v="50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B-00090-00003640"/>
    <s v="FV B-00090-00003640.pdf"/>
    <s v="RE R-00008-00003287"/>
    <s v="RE R-00008-00003287.pdf"/>
    <s v="SA"/>
    <n v="134680"/>
    <d v="2025-08-14T00:00:00"/>
    <s v="Gab_Hernandez"/>
    <n v="154686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78"/>
    <n v="1"/>
    <s v="1"/>
    <x v="51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59"/>
    <s v="FV A-00006-00002659.pdf"/>
    <s v="RE R-00008-00003231"/>
    <s v="RE R-00008-00003231.pdf"/>
    <s v="SA"/>
    <n v="134681"/>
    <d v="2025-08-14T00:00:00"/>
    <s v="Gab_Hernandez"/>
    <n v="154685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77"/>
    <n v="1"/>
    <s v="1"/>
    <x v="52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690"/>
    <s v="FV A-00006-00002690.pdf"/>
    <s v="RE R-00008-00003271"/>
    <s v="RE R-00008-00003271.pdf"/>
    <s v="SA"/>
    <n v="134682"/>
    <d v="2025-08-14T00:00:00"/>
    <s v="Gab_Hernandez"/>
    <n v="15468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69"/>
    <n v="2"/>
    <s v="1"/>
    <x v="27"/>
    <s v="TOST      "/>
    <x v="0"/>
    <s v="Pistachos"/>
    <s v="Pistachos                                         "/>
    <n v="350"/>
    <n v="14.75"/>
    <n v="350"/>
    <n v="350"/>
    <n v="3500"/>
    <x v="0"/>
    <s v="Pistachos_Garbi               "/>
    <s v="COA"/>
    <s v="FV A-00006-00002695"/>
    <s v="FV A-00006-00002695.pdf"/>
    <s v="RE R-00008-00003276"/>
    <s v="RE R-00008-00003276.pdf"/>
    <s v="SA"/>
    <n v="134683"/>
    <d v="2025-08-14T00:00:00"/>
    <s v="Gab_Hernandez"/>
    <n v="154661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350"/>
    <n v="700"/>
  </r>
  <r>
    <n v="77669"/>
    <n v="1"/>
    <s v="1"/>
    <x v="27"/>
    <s v="PEPA      "/>
    <x v="1"/>
    <s v="Pistachos"/>
    <s v="Pistachos                                         "/>
    <n v="50"/>
    <n v="26.3"/>
    <n v="50"/>
    <n v="50"/>
    <n v="500"/>
    <x v="0"/>
    <s v="Pistachos_Garbi               "/>
    <s v="COA"/>
    <s v="FV A-00090-00029550"/>
    <s v="FV A-00090-00029550.pdf"/>
    <s v="RE R-00008-00003283"/>
    <s v="RE R-00008-00003283.pdf"/>
    <s v="SA"/>
    <n v="134684"/>
    <d v="2025-08-14T00:00:00"/>
    <s v="Gab_Hernandez"/>
    <n v="154660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50"/>
    <n v="100"/>
  </r>
  <r>
    <n v="77668"/>
    <n v="1"/>
    <s v="1"/>
    <x v="37"/>
    <s v="PEPA      "/>
    <x v="1"/>
    <s v="Pistachos"/>
    <s v="Pistachos                                         "/>
    <n v="210"/>
    <n v="26.3"/>
    <n v="210"/>
    <n v="210"/>
    <n v="2100"/>
    <x v="0"/>
    <s v="Pistachos_Garbi               "/>
    <s v="COA"/>
    <s v="FV A-00006-00002676"/>
    <s v="FV A-00006-00002676.pdf"/>
    <s v="RE R-00008-00003249"/>
    <s v="RE R-00008-00003249.pdf"/>
    <s v="SA"/>
    <n v="134686"/>
    <d v="2025-08-14T00:00:00"/>
    <s v="Gab_Hernandez"/>
    <n v="154656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210"/>
    <n v="420"/>
  </r>
  <r>
    <n v="77668"/>
    <n v="2"/>
    <s v="1"/>
    <x v="37"/>
    <s v="PEPATOS   "/>
    <x v="3"/>
    <s v="Pistachos"/>
    <s v="Pistachos                                         "/>
    <n v="1920"/>
    <n v="26.9"/>
    <n v="1920"/>
    <n v="1920"/>
    <n v="19200"/>
    <x v="0"/>
    <s v="Pistachos_Garbi               "/>
    <s v="COA"/>
    <s v="FV A-00006-00002681"/>
    <s v="FV A-00006-00002681.pdf"/>
    <s v="RE R-00008-00003255"/>
    <s v="RE R-00008-00003255.pdf"/>
    <s v="SA"/>
    <n v="134685"/>
    <d v="2025-08-14T00:00:00"/>
    <s v="Gab_Hernandez"/>
    <n v="154657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920"/>
    <n v="3840"/>
  </r>
  <r>
    <n v="77667"/>
    <n v="1"/>
    <s v="1"/>
    <x v="10"/>
    <s v="PEPA      "/>
    <x v="1"/>
    <s v="Pistachos"/>
    <s v="Pistachos                                         "/>
    <n v="50"/>
    <n v="26.3"/>
    <n v="50"/>
    <n v="50"/>
    <n v="500"/>
    <x v="0"/>
    <s v="Pistachos_Garbi               "/>
    <s v="COA"/>
    <s v="FV B-00006-00000279"/>
    <s v="FV B-00006-00000279(1).pdf"/>
    <s v="RE R-00008-00003354"/>
    <s v="RE R-00008-00003354.pdf"/>
    <s v="SA"/>
    <n v="134688"/>
    <d v="2025-08-14T00:00:00"/>
    <s v="Gab_Hernandez"/>
    <n v="15465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50"/>
    <n v="100"/>
  </r>
  <r>
    <n v="77667"/>
    <n v="2"/>
    <s v="1"/>
    <x v="10"/>
    <s v="TOST      "/>
    <x v="0"/>
    <s v="Pistachos"/>
    <s v="Pistachos                                         "/>
    <n v="650"/>
    <n v="14.75"/>
    <n v="650"/>
    <n v="650"/>
    <n v="6500"/>
    <x v="0"/>
    <s v="Pistachos_Garbi               "/>
    <s v="COA"/>
    <s v="FV B-00006-00000279"/>
    <s v="FV B-00006-00000279.pdf"/>
    <s v="RE R-00008-00003354"/>
    <s v="RE R-00008-00003354.pdf"/>
    <s v="SA"/>
    <n v="134687"/>
    <d v="2025-08-14T00:00:00"/>
    <s v="Gab_Hernandez"/>
    <n v="154655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650"/>
    <n v="1300"/>
  </r>
  <r>
    <n v="77666"/>
    <n v="1"/>
    <s v="1"/>
    <x v="53"/>
    <s v="PEPA      "/>
    <x v="1"/>
    <s v="Pistachos"/>
    <s v="Pistachos                                         "/>
    <n v="70"/>
    <n v="26.3"/>
    <n v="70"/>
    <n v="70"/>
    <n v="700"/>
    <x v="0"/>
    <s v="Pistachos_Garbi               "/>
    <s v="COA"/>
    <s v="FV A-00006-00002622"/>
    <s v="FV A-00006-00002622.pdf"/>
    <s v="RE R-00008-00003200"/>
    <s v="RE R-00008-00003200.pdf"/>
    <s v="SA"/>
    <n v="134689"/>
    <d v="2025-08-14T00:00:00"/>
    <s v="Gab_Hernandez"/>
    <n v="154653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64"/>
    <n v="1"/>
    <s v="1"/>
    <x v="14"/>
    <s v="TOST      "/>
    <x v="0"/>
    <s v="Pistachos"/>
    <s v="Pistachos                                         "/>
    <n v="350"/>
    <n v="14.75"/>
    <n v="350"/>
    <n v="350"/>
    <n v="3500"/>
    <x v="0"/>
    <s v="Pistachos_Garbi               "/>
    <s v="COA"/>
    <s v="FV B-00090-00003645"/>
    <s v="FV B-00090-00003645.pdf"/>
    <s v="RE R-00008-00003268"/>
    <s v="RE R-00008-00003268.pdf"/>
    <s v="SA"/>
    <n v="134690"/>
    <d v="2025-08-14T00:00:00"/>
    <s v="Gab_Hernandez"/>
    <n v="154651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350"/>
    <n v="700"/>
  </r>
  <r>
    <n v="77663"/>
    <n v="1"/>
    <s v="1"/>
    <x v="54"/>
    <s v="PEPA      "/>
    <x v="1"/>
    <s v="Pistachos"/>
    <s v="Pistachos                                         "/>
    <n v="14"/>
    <n v="26.3"/>
    <n v="14"/>
    <n v="14"/>
    <n v="140"/>
    <x v="0"/>
    <s v="Pistachos_Garbi               "/>
    <s v="COA"/>
    <s v="FV A-00006-00002605"/>
    <s v="FV A-00006-00002605.pdf"/>
    <s v="RE R-00008-00003170"/>
    <s v="RE R-00008-00003170.pdf"/>
    <s v="SA"/>
    <n v="134691"/>
    <d v="2025-08-14T00:00:00"/>
    <s v="Gab_Hernandez"/>
    <n v="154650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4"/>
    <n v="28"/>
  </r>
  <r>
    <n v="77658"/>
    <n v="1"/>
    <s v="1"/>
    <x v="55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55"/>
    <s v="FV A-00006-00002655.pdf"/>
    <s v="RE R-00008-00003227"/>
    <s v="RE R-00008-00003227.pdf"/>
    <s v="SA"/>
    <n v="134692"/>
    <d v="2025-08-14T00:00:00"/>
    <s v="Gab_Hernandez"/>
    <n v="154626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53"/>
    <n v="1"/>
    <s v="1"/>
    <x v="56"/>
    <s v="PEPA      "/>
    <x v="1"/>
    <s v="Pistachos"/>
    <s v="Pistachos                                         "/>
    <n v="40"/>
    <n v="26.3"/>
    <n v="40"/>
    <n v="40"/>
    <n v="400"/>
    <x v="0"/>
    <s v="Pistachos_Garbi               "/>
    <s v="COA"/>
    <s v="FV A-00090-00029397"/>
    <s v="FV A-00090-00029397.pdf"/>
    <s v="RE R-00008-00003262"/>
    <s v="RE R-00008-00003262.pdf"/>
    <s v="SA"/>
    <n v="134693"/>
    <d v="2025-08-14T00:00:00"/>
    <s v="Gab_Hernandez"/>
    <n v="154613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40"/>
    <n v="80"/>
  </r>
  <r>
    <n v="77652"/>
    <n v="1"/>
    <s v="1"/>
    <x v="32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91"/>
    <s v="FV A-00006-00002691.pdf"/>
    <s v="RE R-00008-00003272"/>
    <s v="RE R-00008-00003272.pdf"/>
    <s v="SA"/>
    <n v="134694"/>
    <d v="2025-08-14T00:00:00"/>
    <s v="Gab_Hernandez"/>
    <n v="154595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50"/>
    <n v="1"/>
    <s v="1"/>
    <x v="57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B-00090-00003656"/>
    <s v="FV B-00090-00003656.pdf"/>
    <s v="RE R-00008-00003289"/>
    <s v="RE R-00008-00003289.pdf"/>
    <s v="SA"/>
    <n v="134695"/>
    <d v="2025-08-14T00:00:00"/>
    <s v="Gab_Hernandez"/>
    <n v="15459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49"/>
    <n v="1"/>
    <s v="1"/>
    <x v="26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58"/>
    <s v="FV A-00006-00002658.pdf"/>
    <s v="RE R-00008-00003230"/>
    <s v="RE R-00008-00003230.pdf"/>
    <s v="SA"/>
    <n v="134696"/>
    <d v="2025-08-14T00:00:00"/>
    <s v="Gab_Hernandez"/>
    <n v="154593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48"/>
    <n v="2"/>
    <s v="1"/>
    <x v="58"/>
    <s v="TOST      "/>
    <x v="0"/>
    <s v="Pistachos"/>
    <s v="Pistachos                                         "/>
    <n v="50"/>
    <n v="14.75"/>
    <n v="50"/>
    <n v="50"/>
    <n v="500"/>
    <x v="0"/>
    <s v="Pistachos_Garbi               "/>
    <s v="COA"/>
    <s v="FV A-00006-00002687"/>
    <s v="FV A-00006-00002687.pdf"/>
    <s v="RE R-00008-00003265"/>
    <s v="RE R-00008-00003265.pdf"/>
    <s v="SA"/>
    <n v="134701"/>
    <d v="2025-08-14T00:00:00"/>
    <s v="Gab_Hernandez"/>
    <n v="154592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50"/>
    <n v="100"/>
  </r>
  <r>
    <n v="77648"/>
    <n v="1"/>
    <s v="1"/>
    <x v="58"/>
    <s v="PEPA      "/>
    <x v="1"/>
    <s v="Pistachos"/>
    <s v="Pistachos                                         "/>
    <n v="30"/>
    <n v="26.3"/>
    <n v="30"/>
    <n v="30"/>
    <n v="300"/>
    <x v="0"/>
    <s v="Pistachos_Garbi               "/>
    <s v="COA"/>
    <s v="FV A-00006-00002677"/>
    <s v="FV A-00006-00002677.pdf"/>
    <s v="RE R-00008-00003250"/>
    <s v="RE R-00008-00003250.pdf"/>
    <s v="SA"/>
    <n v="134702"/>
    <d v="2025-08-14T00:00:00"/>
    <s v="Gab_Hernandez"/>
    <n v="154591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30"/>
    <n v="60"/>
  </r>
  <r>
    <n v="77647"/>
    <n v="1"/>
    <s v="1"/>
    <x v="59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52"/>
    <s v="FV A-00006-00002652.pdf"/>
    <s v="RE R-00008-00003224"/>
    <s v="RE R-00008-00003224.pdf"/>
    <s v="SA"/>
    <n v="134703"/>
    <d v="2025-08-14T00:00:00"/>
    <s v="Gab_Hernandez"/>
    <n v="154590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46"/>
    <n v="1"/>
    <s v="1"/>
    <x v="17"/>
    <s v="PEPA      "/>
    <x v="1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684"/>
    <s v="FV A-00006-00002684.pdf"/>
    <s v="RE R-00008-00003258"/>
    <s v="RE R-00008-00003258.pdf"/>
    <s v="SA"/>
    <n v="134705"/>
    <d v="2025-08-14T00:00:00"/>
    <s v="Gab_Hernandez"/>
    <n v="154589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40"/>
    <n v="280"/>
  </r>
  <r>
    <n v="77645"/>
    <n v="1"/>
    <s v="1"/>
    <x v="0"/>
    <s v="PEPA      "/>
    <x v="1"/>
    <s v="Pistachos"/>
    <s v="Pistachos                                         "/>
    <n v="70"/>
    <n v="26.3"/>
    <n v="70"/>
    <n v="70"/>
    <n v="700"/>
    <x v="0"/>
    <s v="Pistachos_Garbi               "/>
    <s v="COA"/>
    <s v="FV A-00090-00029398"/>
    <s v="FV A-00090-00029398.pdf"/>
    <s v="RE R-00008-00003263"/>
    <s v="RE R-00008-00003263.pdf"/>
    <s v="SA"/>
    <n v="134706"/>
    <d v="2025-08-14T00:00:00"/>
    <s v="Gab_Hernandez"/>
    <n v="154587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45"/>
    <n v="2"/>
    <s v="1"/>
    <x v="0"/>
    <s v="TOST      "/>
    <x v="0"/>
    <s v="Pistachos"/>
    <s v="Pistachos                                         "/>
    <n v="210"/>
    <n v="14.75"/>
    <n v="210"/>
    <n v="210"/>
    <n v="2100"/>
    <x v="0"/>
    <s v="Pistachos_Garbi               "/>
    <s v="COA"/>
    <s v="FV A-00090-00029406"/>
    <s v="FV A-00090-00029406.pdf"/>
    <s v="RE R-00008-00003263"/>
    <s v="RE R-00008-00003263.pdf"/>
    <s v="SA"/>
    <n v="134704"/>
    <d v="2025-08-14T00:00:00"/>
    <s v="Gab_Hernandez"/>
    <n v="154588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210"/>
    <n v="420"/>
  </r>
  <r>
    <n v="77644"/>
    <n v="1"/>
    <s v="1"/>
    <x v="1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44"/>
    <s v="FV A-00006-00002644.pdf"/>
    <s v="RE R-00008-00003216"/>
    <s v="RE R-00008-00003216.pdf"/>
    <s v="SA"/>
    <n v="134707"/>
    <d v="2025-08-14T00:00:00"/>
    <s v="Gab_Hernandez"/>
    <n v="154586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43"/>
    <n v="2"/>
    <s v="1"/>
    <x v="60"/>
    <s v="TOST      "/>
    <x v="0"/>
    <s v="Pistachos"/>
    <s v="Pistachos                                         "/>
    <n v="140"/>
    <n v="17.75"/>
    <n v="140"/>
    <n v="140"/>
    <n v="1400"/>
    <x v="0"/>
    <s v="Pistachos_Garbi               "/>
    <s v="COA"/>
    <s v="FV B-00090-00003645"/>
    <s v="FV B-00090-00003645(1).pdf"/>
    <s v="RE R-00008-00003268"/>
    <s v="RE R-00008-00003268.pdf"/>
    <s v="SA"/>
    <n v="134708"/>
    <d v="2025-08-14T00:00:00"/>
    <s v="Gab_Hernandez"/>
    <n v="15458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40"/>
    <n v="280"/>
  </r>
  <r>
    <n v="77643"/>
    <n v="1"/>
    <s v="1"/>
    <x v="60"/>
    <s v="PEPA      "/>
    <x v="1"/>
    <s v="Pistachos"/>
    <s v="Pistachos                                         "/>
    <n v="70"/>
    <n v="26.3"/>
    <n v="70"/>
    <n v="70"/>
    <n v="700"/>
    <x v="0"/>
    <s v="Pistachos_Garbi               "/>
    <s v="COA"/>
    <s v="FV B-00090-00003645"/>
    <s v="FV B-00090-00003645(2).pdf"/>
    <s v="RE R-00008-00003268"/>
    <s v="RE R-00008-00003268.pdf"/>
    <s v="SA"/>
    <n v="134709"/>
    <d v="2025-08-14T00:00:00"/>
    <s v="Gab_Hernandez"/>
    <n v="154579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41"/>
    <n v="1"/>
    <s v="1"/>
    <x v="8"/>
    <s v="PEPA      "/>
    <x v="1"/>
    <s v="Pistachos"/>
    <s v="Pistachos                                         "/>
    <n v="30"/>
    <n v="26.3"/>
    <n v="30"/>
    <n v="30"/>
    <n v="300"/>
    <x v="0"/>
    <s v="Pistachos_Garbi               "/>
    <s v="COA"/>
    <s v="FV A-00006-00002634"/>
    <s v="FV A-00006-00002634(1).pdf"/>
    <s v="RE R-00008-00003201"/>
    <s v="RE R-00008-00003201.pdf"/>
    <s v="SA"/>
    <n v="134711"/>
    <d v="2025-08-14T00:00:00"/>
    <s v="Gab_Hernandez"/>
    <n v="15456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30"/>
    <n v="60"/>
  </r>
  <r>
    <n v="77641"/>
    <n v="2"/>
    <s v="1"/>
    <x v="8"/>
    <s v="TOST      "/>
    <x v="0"/>
    <s v="Pistachos"/>
    <s v="Pistachos                                         "/>
    <n v="110"/>
    <n v="14.75"/>
    <n v="110"/>
    <n v="110"/>
    <n v="1100"/>
    <x v="0"/>
    <s v="Pistachos_Garbi               "/>
    <s v="COA"/>
    <s v="FV A-00006-00002634"/>
    <s v="FV A-00006-00002634.pdf"/>
    <s v="RE R-00008-00003201"/>
    <s v="RE R-00008-00003201.pdf"/>
    <s v="SA"/>
    <n v="134710"/>
    <d v="2025-08-14T00:00:00"/>
    <s v="Gab_Hernandez"/>
    <n v="154565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10"/>
    <n v="220"/>
  </r>
  <r>
    <n v="77640"/>
    <n v="2"/>
    <s v="1"/>
    <x v="61"/>
    <s v="TOST      "/>
    <x v="0"/>
    <s v="Pistachos"/>
    <s v="Pistachos                                         "/>
    <n v="210"/>
    <n v="14.75"/>
    <n v="210"/>
    <n v="210"/>
    <n v="2100"/>
    <x v="0"/>
    <s v="Pistachos_Garbi               "/>
    <s v="COA"/>
    <s v="FV B-00090-00003630"/>
    <s v="FV B-00090-00003630.pdf"/>
    <s v="RE R-00008-00003264"/>
    <s v="RE R-00008-00003264.pdf"/>
    <s v="SA"/>
    <n v="134712"/>
    <d v="2025-08-14T00:00:00"/>
    <s v="Gab_Hernandez"/>
    <n v="154563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210"/>
    <n v="420"/>
  </r>
  <r>
    <n v="77640"/>
    <n v="1"/>
    <s v="1"/>
    <x v="61"/>
    <s v="PEPA      "/>
    <x v="1"/>
    <s v="Pistachos"/>
    <s v="Pistachos                                         "/>
    <n v="50"/>
    <n v="26.3"/>
    <n v="50"/>
    <n v="50"/>
    <n v="500"/>
    <x v="0"/>
    <s v="Pistachos_Garbi               "/>
    <s v="COA"/>
    <s v="FV B-00090-00003493"/>
    <s v="FV B-00090-00003493.pdf"/>
    <s v="RE R-00008-00003211"/>
    <s v="RE R-00008-00003211.pdf"/>
    <s v="SA"/>
    <n v="134713"/>
    <d v="2025-08-14T00:00:00"/>
    <s v="Gab_Hernandez"/>
    <n v="154562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50"/>
    <n v="100"/>
  </r>
  <r>
    <n v="77639"/>
    <n v="1"/>
    <s v="1"/>
    <x v="7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53"/>
    <s v="FV A-00006-00002653.pdf"/>
    <s v="RE R-00008-00003225"/>
    <s v="RE R-00008-00003225.pdf"/>
    <s v="SA"/>
    <n v="134714"/>
    <d v="2025-08-14T00:00:00"/>
    <s v="Gab_Hernandez"/>
    <n v="154561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38"/>
    <n v="1"/>
    <s v="1"/>
    <x v="25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93"/>
    <s v="FV A-00006-00002693.pdf"/>
    <s v="RE R-00008-00033274"/>
    <s v="RE R-00008-00033274.pdf"/>
    <s v="SA"/>
    <n v="134715"/>
    <d v="2025-08-14T00:00:00"/>
    <s v="Gab_Hernandez"/>
    <n v="154560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35"/>
    <n v="1"/>
    <s v="1"/>
    <x v="23"/>
    <s v="TOST      "/>
    <x v="0"/>
    <s v="Pistachos"/>
    <s v="Pistachos                                         "/>
    <n v="190"/>
    <n v="14.75"/>
    <n v="190"/>
    <n v="190"/>
    <n v="1900"/>
    <x v="0"/>
    <s v="Pistachos_Garbi               "/>
    <s v="COA"/>
    <s v="FV A-00006-00002702"/>
    <s v="FV A-00006-00002702.pdf"/>
    <s v="RE R-00008-00003286"/>
    <s v="RE R-00008-00003286.pdf"/>
    <s v="SA"/>
    <n v="134716"/>
    <d v="2025-08-14T00:00:00"/>
    <s v="Gab_Hernandez"/>
    <n v="154559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90"/>
    <n v="380"/>
  </r>
  <r>
    <n v="77634"/>
    <n v="1"/>
    <s v="1"/>
    <x v="3"/>
    <s v="PEPA      "/>
    <x v="1"/>
    <s v="Pistachos"/>
    <s v="Pistachos                                         "/>
    <n v="210"/>
    <n v="26.3"/>
    <n v="210"/>
    <n v="210"/>
    <n v="2100"/>
    <x v="0"/>
    <s v="Pistachos_Garbi               "/>
    <s v="COA"/>
    <s v="FV A-00006-00002685"/>
    <s v="FV A-00006-00002685.pdf"/>
    <s v="RE R-00008-00003259"/>
    <s v="RE R-00008-00003259.pdf"/>
    <s v="SA"/>
    <n v="134717"/>
    <d v="2025-08-14T00:00:00"/>
    <s v="Gab_Hernandez"/>
    <n v="154556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210"/>
    <n v="420"/>
  </r>
  <r>
    <n v="77632"/>
    <n v="1"/>
    <s v="1"/>
    <x v="62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54"/>
    <s v="FV A-00006-00002654.pdf"/>
    <s v="RE R-00008-00003226"/>
    <s v="RE R-00008-00003226.pdf"/>
    <s v="SA"/>
    <n v="134718"/>
    <d v="2025-08-14T00:00:00"/>
    <s v="Gab_Hernandez"/>
    <n v="15455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31"/>
    <n v="1"/>
    <s v="1"/>
    <x v="24"/>
    <s v="PEPA      "/>
    <x v="1"/>
    <s v="Pistachos"/>
    <s v="Pistachos                                         "/>
    <n v="210"/>
    <n v="26.3"/>
    <n v="210"/>
    <n v="210"/>
    <n v="2100"/>
    <x v="0"/>
    <s v="Pistachos_Garbi               "/>
    <s v="COA"/>
    <s v="FV A-00006-00002683"/>
    <s v="FV A-00006-00002683.pdf"/>
    <s v="RE R-00008-00003257"/>
    <s v="RE R-00008-00003257.pdf"/>
    <s v="SA"/>
    <n v="134719"/>
    <d v="2025-08-14T00:00:00"/>
    <s v="Gab_Hernandez"/>
    <n v="154552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210"/>
    <n v="420"/>
  </r>
  <r>
    <n v="77345"/>
    <n v="1"/>
    <s v="1"/>
    <x v="13"/>
    <s v="TOST      "/>
    <x v="0"/>
    <s v="Pistachos"/>
    <s v="Pistachos                                         "/>
    <n v="140"/>
    <n v="17.75"/>
    <n v="140"/>
    <n v="140"/>
    <n v="1400"/>
    <x v="0"/>
    <s v="Pistachos_Garbi               "/>
    <s v="COA"/>
    <s v="FV A-00006-00002694"/>
    <s v="FV A-00006-00002694.pdf"/>
    <s v="RE R-00008-00003275"/>
    <s v="RE R-00008-00003275.pdf"/>
    <s v="SA"/>
    <n v="134743"/>
    <d v="2025-08-14T00:00:00"/>
    <s v="Gab_Hernandez"/>
    <n v="153046"/>
    <d v="2025-07-30T00:00:00"/>
    <d v="2025-07-30T00:00:00"/>
    <d v="2025-08-14T00:00:00"/>
    <d v="2025-08-14T00:00:00"/>
    <d v="2025-08-14T00:00:00"/>
    <d v="2025-08-14T00:00:00"/>
    <d v="2025-08-14T00:00:00"/>
    <m/>
    <m/>
    <m/>
    <m/>
    <m/>
    <m/>
    <s v="Pistachos "/>
    <n v="140"/>
    <n v="280"/>
  </r>
  <r>
    <n v="76579"/>
    <n v="1"/>
    <s v="1"/>
    <x v="16"/>
    <s v="PEPA      "/>
    <x v="1"/>
    <s v="Pistachos"/>
    <s v="Pistachos                                         "/>
    <n v="210"/>
    <n v="31.3"/>
    <n v="210"/>
    <n v="210"/>
    <n v="2100"/>
    <x v="0"/>
    <s v="Pistachos_Garbi               "/>
    <s v="COA"/>
    <s v="FV A-00006-00002686"/>
    <s v="FV A-00006-00002686.pdf"/>
    <s v="RE R-00008-00003260"/>
    <s v="RE R-00008-00003260.pdf"/>
    <s v="SA"/>
    <n v="134747"/>
    <d v="2025-08-14T00:00:00"/>
    <s v="Gab_Hernandez"/>
    <n v="149160"/>
    <d v="2025-07-08T00:00:00"/>
    <d v="2025-07-10T00:00:00"/>
    <d v="2025-08-14T00:00:00"/>
    <d v="2025-08-14T00:00:00"/>
    <d v="2025-08-14T00:00:00"/>
    <d v="2025-08-14T00:00:00"/>
    <d v="2025-08-14T00:00:00"/>
    <m/>
    <m/>
    <m/>
    <m/>
    <m/>
    <m/>
    <s v="Pistachos "/>
    <n v="210"/>
    <n v="420"/>
  </r>
  <r>
    <n v="77891"/>
    <n v="1"/>
    <s v="1"/>
    <x v="13"/>
    <s v="TOST      "/>
    <x v="0"/>
    <s v="Pistachos"/>
    <s v="Pistachos                                         "/>
    <n v="70"/>
    <n v="20.8"/>
    <n v="70"/>
    <n v="70"/>
    <n v="700"/>
    <x v="0"/>
    <s v="Pistachos_Garbi               "/>
    <s v="COA"/>
    <s v="FV A-00006-00002694"/>
    <s v="FV A-00006-00002694(1).pdf"/>
    <s v="RE R-00008-00003275"/>
    <s v="RE R-00008-00003275.pdf"/>
    <s v="SA"/>
    <n v="135044"/>
    <d v="2025-08-15T00:00:00"/>
    <s v="Gab_Hernandez"/>
    <n v="155703"/>
    <d v="2025-08-15T00:00:00"/>
    <d v="2025-08-15T00:00:00"/>
    <d v="2025-08-15T00:00:00"/>
    <d v="2025-08-15T00:00:00"/>
    <d v="2025-08-15T00:00:00"/>
    <d v="2025-08-15T00:00:00"/>
    <d v="2025-08-15T00:00:00"/>
    <m/>
    <m/>
    <m/>
    <m/>
    <m/>
    <m/>
    <s v="Pistachos "/>
    <n v="70"/>
    <n v="140"/>
  </r>
  <r>
    <n v="77890"/>
    <n v="1"/>
    <s v="1"/>
    <x v="17"/>
    <s v="PEPATOS   "/>
    <x v="3"/>
    <s v="Pistachos"/>
    <s v="Pistachos                                         "/>
    <n v="140"/>
    <n v="37.9"/>
    <n v="140"/>
    <n v="140"/>
    <n v="1400"/>
    <x v="0"/>
    <s v="Pistachos_Garbi               "/>
    <s v="COA"/>
    <s v="FV A-00006-00002762"/>
    <s v="FV A-00006-00002762.pdf"/>
    <s v="RE R-00008-00003380"/>
    <s v="RE R-00008-00003380.pdf"/>
    <s v="SA"/>
    <n v="135043"/>
    <d v="2025-08-15T00:00:00"/>
    <s v="Gab_Hernandez"/>
    <n v="155702"/>
    <d v="2025-08-15T00:00:00"/>
    <d v="2025-08-15T00:00:00"/>
    <d v="2025-08-15T00:00:00"/>
    <d v="2025-08-15T00:00:00"/>
    <d v="2025-08-15T00:00:00"/>
    <d v="2025-08-15T00:00:00"/>
    <d v="2025-08-15T00:00:00"/>
    <m/>
    <m/>
    <m/>
    <m/>
    <m/>
    <m/>
    <s v="Pistachos "/>
    <n v="140"/>
    <n v="280"/>
  </r>
  <r>
    <n v="77889"/>
    <n v="2"/>
    <s v="1"/>
    <x v="31"/>
    <s v="PEPATOS   "/>
    <x v="3"/>
    <s v="Pistachos"/>
    <s v="Pistachos                                         "/>
    <n v="140"/>
    <n v="36"/>
    <n v="140"/>
    <n v="140"/>
    <n v="1400"/>
    <x v="0"/>
    <s v="Pistachos_Garbi               "/>
    <s v="COA"/>
    <s v="FV A-00006-00002760"/>
    <s v="FV A-00006-00002760.pdf"/>
    <s v="RE R-00008-00003378"/>
    <s v="RE R-00008-00003378.pdf"/>
    <s v="SA"/>
    <n v="135039"/>
    <d v="2025-08-15T00:00:00"/>
    <s v="Gab_Hernandez"/>
    <n v="155701"/>
    <d v="2025-08-15T00:00:00"/>
    <d v="2025-08-15T00:00:00"/>
    <d v="2025-08-15T00:00:00"/>
    <d v="2025-08-15T00:00:00"/>
    <d v="2025-08-15T00:00:00"/>
    <d v="2025-08-15T00:00:00"/>
    <d v="2025-08-15T00:00:00"/>
    <m/>
    <m/>
    <m/>
    <m/>
    <m/>
    <m/>
    <s v="Pistachos "/>
    <n v="140"/>
    <n v="280"/>
  </r>
  <r>
    <n v="77889"/>
    <n v="1"/>
    <s v="1"/>
    <x v="31"/>
    <s v="PEPATOS   "/>
    <x v="3"/>
    <s v="Pistachos"/>
    <s v="Pistachos                                         "/>
    <n v="70"/>
    <n v="37.9"/>
    <n v="70"/>
    <n v="70"/>
    <n v="700"/>
    <x v="0"/>
    <s v="Pistachos_Garbi               "/>
    <s v="COA"/>
    <s v="FV A-00006-00002761"/>
    <s v="FV A-00006-00002761.pdf"/>
    <s v="RE R-00008-00003379"/>
    <s v="RE R-00008-00003379.pdf"/>
    <s v="SA"/>
    <n v="135040"/>
    <d v="2025-08-15T00:00:00"/>
    <s v="Gab_Hernandez"/>
    <n v="155700"/>
    <d v="2025-08-15T00:00:00"/>
    <d v="2025-08-15T00:00:00"/>
    <d v="2025-08-15T00:00:00"/>
    <d v="2025-08-15T00:00:00"/>
    <d v="2025-08-15T00:00:00"/>
    <d v="2025-08-15T00:00:00"/>
    <d v="2025-08-15T00:00:00"/>
    <m/>
    <m/>
    <m/>
    <m/>
    <m/>
    <m/>
    <s v="Pistachos "/>
    <n v="70"/>
    <n v="140"/>
  </r>
  <r>
    <n v="77694"/>
    <n v="3"/>
    <s v="1"/>
    <x v="34"/>
    <s v="PEPA      "/>
    <x v="1"/>
    <s v="Pistachos"/>
    <s v="Pistachos                                         "/>
    <n v="1"/>
    <n v="26.3"/>
    <n v="1"/>
    <n v="1"/>
    <n v="10"/>
    <x v="0"/>
    <s v="Pistachos_Garbi               "/>
    <s v="COA"/>
    <s v="FV A-00060-00002688"/>
    <s v="FV A-00060-00002688(2).pdf"/>
    <s v="RE R-00008-00003266"/>
    <s v="RE R-00008-00003266.pdf"/>
    <s v="SA"/>
    <n v="134873"/>
    <d v="2025-08-15T00:00:00"/>
    <s v="Gab_Hernandez"/>
    <n v="154818"/>
    <d v="2025-08-11T00:00:00"/>
    <d v="2025-08-11T00:00:00"/>
    <d v="2025-08-15T00:00:00"/>
    <d v="2025-08-15T00:00:00"/>
    <d v="2025-08-15T00:00:00"/>
    <d v="2025-08-15T00:00:00"/>
    <d v="2025-08-15T00:00:00"/>
    <m/>
    <m/>
    <m/>
    <m/>
    <m/>
    <m/>
    <s v="Pistachos "/>
    <n v="1"/>
    <n v="2"/>
  </r>
  <r>
    <n v="77682"/>
    <n v="2"/>
    <s v="1"/>
    <x v="47"/>
    <s v="TOST      "/>
    <x v="0"/>
    <s v="Pistachos"/>
    <s v="Pistachos                                         "/>
    <n v="60"/>
    <n v="14.75"/>
    <n v="60"/>
    <n v="60"/>
    <n v="600"/>
    <x v="0"/>
    <s v="Pistachos_Garbi               "/>
    <s v="COA"/>
    <s v="FV A-00006-00002656"/>
    <s v="FV A-00006-00002656(1).pdf"/>
    <s v="RE R-00008-00003228"/>
    <s v="RE R-00008-00003228.pdf"/>
    <s v="SA"/>
    <n v="134864"/>
    <d v="2025-08-15T00:00:00"/>
    <s v="Gab_Hernandez"/>
    <n v="155210"/>
    <d v="2025-08-14T00:00:00"/>
    <d v="2025-08-14T00:00:00"/>
    <d v="2025-08-15T00:00:00"/>
    <d v="2025-08-15T00:00:00"/>
    <d v="2025-08-15T00:00:00"/>
    <d v="2025-08-15T00:00:00"/>
    <d v="2025-08-15T00:00:00"/>
    <m/>
    <m/>
    <m/>
    <m/>
    <m/>
    <m/>
    <s v="Pistachos "/>
    <n v="60"/>
    <n v="120"/>
  </r>
  <r>
    <n v="77665"/>
    <n v="1"/>
    <s v="1"/>
    <x v="22"/>
    <s v="PEPA      "/>
    <x v="1"/>
    <s v="Pistachos"/>
    <s v="Pistachos                                         "/>
    <n v="840"/>
    <n v="26.3"/>
    <n v="840"/>
    <n v="840"/>
    <n v="8400"/>
    <x v="0"/>
    <s v="Pistachos_Garbi               "/>
    <s v="COA"/>
    <s v="FV A-00006-00002674"/>
    <s v="FV A-00006-00002674.pdf"/>
    <s v="RE R-00008-00003247"/>
    <s v="RE R-00008-00003247.pdf"/>
    <s v="SA"/>
    <n v="134877"/>
    <d v="2025-08-15T00:00:00"/>
    <s v="Gab_Hernandez"/>
    <n v="154652"/>
    <d v="2025-08-08T00:00:00"/>
    <d v="2025-08-08T00:00:00"/>
    <d v="2025-08-15T00:00:00"/>
    <d v="2025-08-15T00:00:00"/>
    <d v="2025-08-15T00:00:00"/>
    <d v="2025-08-15T00:00:00"/>
    <d v="2025-08-15T00:00:00"/>
    <m/>
    <m/>
    <m/>
    <m/>
    <m/>
    <m/>
    <s v="Pistachos "/>
    <n v="840"/>
    <n v="1680"/>
  </r>
  <r>
    <n v="77631"/>
    <n v="2"/>
    <s v="1"/>
    <x v="24"/>
    <s v="TOST      "/>
    <x v="0"/>
    <s v="Pistachos"/>
    <s v="Pistachos                                         "/>
    <n v="560"/>
    <n v="14.75"/>
    <n v="560"/>
    <n v="560"/>
    <n v="5600"/>
    <x v="0"/>
    <s v="Pistachos_Garbi               "/>
    <s v="COA"/>
    <s v="FV A-00006-00002679"/>
    <s v="FV A-00006-00002679.pdf"/>
    <s v="RE R-00008-00003252"/>
    <s v="RE R-00008-00003252.pdf"/>
    <s v="SA"/>
    <n v="134878"/>
    <d v="2025-08-15T00:00:00"/>
    <s v="Gab_Hernandez"/>
    <n v="154553"/>
    <d v="2025-08-08T00:00:00"/>
    <d v="2025-08-14T00:00:00"/>
    <d v="2025-08-15T00:00:00"/>
    <d v="2025-08-15T00:00:00"/>
    <d v="2025-08-15T00:00:00"/>
    <d v="2025-08-15T00:00:00"/>
    <d v="2025-08-15T00:00:00"/>
    <m/>
    <m/>
    <m/>
    <m/>
    <m/>
    <m/>
    <s v="Pistachos "/>
    <n v="560"/>
    <n v="1120"/>
  </r>
  <r>
    <n v="76579"/>
    <n v="2"/>
    <s v="1"/>
    <x v="16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686"/>
    <s v="FV A-00006-00002686(1).pdf"/>
    <s v="RE R-00008-00003260"/>
    <s v="RE R-00008-00003260.pdf"/>
    <s v="SA"/>
    <n v="134879"/>
    <d v="2025-08-15T00:00:00"/>
    <s v="Gab_Hernandez"/>
    <n v="149161"/>
    <d v="2025-07-08T00:00:00"/>
    <d v="2025-08-14T00:00:00"/>
    <d v="2025-08-15T00:00:00"/>
    <d v="2025-08-15T00:00:00"/>
    <d v="2025-08-15T00:00:00"/>
    <d v="2025-08-15T00:00:00"/>
    <d v="2025-08-15T00:00:00"/>
    <m/>
    <m/>
    <m/>
    <m/>
    <m/>
    <m/>
    <s v="Pistachos "/>
    <n v="70"/>
    <n v="140"/>
  </r>
  <r>
    <n v="76193"/>
    <n v="2"/>
    <s v="1"/>
    <x v="11"/>
    <s v="PIST004   "/>
    <x v="4"/>
    <s v="Pistachos"/>
    <s v="Pistachos                                         "/>
    <n v="420"/>
    <n v="31.3"/>
    <n v="420"/>
    <n v="420"/>
    <n v="4200"/>
    <x v="0"/>
    <s v="Pistachos_Garbi               "/>
    <s v="COA"/>
    <s v="FV A-00006-00002758"/>
    <s v="FV A-00006-00002758.pdf"/>
    <s v="RE R-00008-00003376"/>
    <s v="RE R-00008-00003376.pdf"/>
    <s v="SA"/>
    <n v="134998"/>
    <d v="2025-08-15T00:00:00"/>
    <s v="Gab_Hernandez"/>
    <n v="148405"/>
    <d v="2025-07-04T00:00:00"/>
    <d v="2025-07-04T00:00:00"/>
    <d v="2025-08-15T00:00:00"/>
    <d v="2025-08-15T00:00:00"/>
    <d v="2025-08-15T00:00:00"/>
    <d v="2025-08-15T00:00:00"/>
    <d v="2025-08-15T00:00:00"/>
    <m/>
    <m/>
    <m/>
    <m/>
    <m/>
    <m/>
    <s v="Pistachos "/>
    <n v="420"/>
    <n v="840"/>
  </r>
  <r>
    <n v="77906"/>
    <n v="1"/>
    <s v="2"/>
    <x v="63"/>
    <s v="PEPA      "/>
    <x v="1"/>
    <s v="Pistachos"/>
    <s v="Pistachos                                         "/>
    <n v="15"/>
    <n v="35.89"/>
    <n v="15"/>
    <n v="15"/>
    <n v="150"/>
    <x v="0"/>
    <s v="Pistachos_Garbi               "/>
    <s v="COA"/>
    <s v="FV A-00090-00030176"/>
    <s v="FV A-00090-00030176.pdf"/>
    <s v="RE R-00008-00003384"/>
    <s v="RE R-00008-00003384.pdf"/>
    <s v="SA"/>
    <n v="135115"/>
    <d v="2025-08-18T00:00:00"/>
    <s v="Gab_Hernandez"/>
    <n v="155789"/>
    <d v="2025-08-18T00:00:00"/>
    <d v="2025-08-18T00:00:00"/>
    <d v="2025-08-18T00:00:00"/>
    <d v="2025-08-18T00:00:00"/>
    <d v="2025-08-18T00:00:00"/>
    <d v="2025-08-18T00:00:00"/>
    <d v="2025-08-18T00:00:00"/>
    <m/>
    <m/>
    <m/>
    <m/>
    <m/>
    <m/>
    <s v="Pistachos "/>
    <n v="15"/>
    <n v="30"/>
  </r>
  <r>
    <n v="77905"/>
    <n v="1"/>
    <s v="1"/>
    <x v="63"/>
    <s v="PEPA      "/>
    <x v="1"/>
    <s v="Pistachos"/>
    <s v="Pistachos                                         "/>
    <n v="15"/>
    <n v="37"/>
    <n v="15"/>
    <n v="15"/>
    <n v="150"/>
    <x v="0"/>
    <s v="Pistachos_Garbi               "/>
    <s v="COA"/>
    <s v="FV A-00006-00003383"/>
    <s v="FV A-00006-00003383.pdf"/>
    <s v="RE R-00008-00003383"/>
    <s v="RE R-00008-00003383.pdf"/>
    <s v="SA"/>
    <n v="135116"/>
    <d v="2025-08-18T00:00:00"/>
    <s v="Gab_Hernandez"/>
    <n v="155788"/>
    <d v="2025-08-18T00:00:00"/>
    <d v="2025-08-18T00:00:00"/>
    <d v="2025-08-18T00:00:00"/>
    <d v="2025-08-18T00:00:00"/>
    <d v="2025-08-18T00:00:00"/>
    <d v="2025-08-18T00:00:00"/>
    <d v="2025-08-18T00:00:00"/>
    <m/>
    <m/>
    <m/>
    <m/>
    <m/>
    <m/>
    <s v="Pistachos "/>
    <n v="15"/>
    <n v="30"/>
  </r>
  <r>
    <n v="77903"/>
    <n v="2"/>
    <s v="1"/>
    <x v="64"/>
    <s v="PEPA      "/>
    <x v="1"/>
    <s v="Pistachos"/>
    <s v="Pistachos                                         "/>
    <n v="20"/>
    <n v="37"/>
    <n v="20"/>
    <n v="20"/>
    <n v="200"/>
    <x v="0"/>
    <s v="Pistachos_Garbi               "/>
    <s v="COA"/>
    <s v="FV A-00006-00002764"/>
    <s v="FV A-00006-00002764(1).pdf"/>
    <s v="RE R-00008-00003382"/>
    <s v="RE R-00008-00003382.pdf"/>
    <s v="SA"/>
    <n v="135113"/>
    <d v="2025-08-18T00:00:00"/>
    <s v="Gab_Hernandez"/>
    <n v="155786"/>
    <d v="2025-08-18T00:00:00"/>
    <d v="2025-08-18T00:00:00"/>
    <d v="2025-08-18T00:00:00"/>
    <d v="2025-08-18T00:00:00"/>
    <d v="2025-08-18T00:00:00"/>
    <d v="2025-08-18T00:00:00"/>
    <d v="2025-08-18T00:00:00"/>
    <m/>
    <m/>
    <m/>
    <m/>
    <m/>
    <m/>
    <s v="Pistachos "/>
    <n v="20"/>
    <n v="40"/>
  </r>
  <r>
    <n v="77903"/>
    <n v="1"/>
    <s v="1"/>
    <x v="64"/>
    <s v="TOST      "/>
    <x v="0"/>
    <s v="Pistachos"/>
    <s v="Pistachos                                         "/>
    <n v="20"/>
    <n v="20.8"/>
    <n v="20"/>
    <n v="20"/>
    <n v="200"/>
    <x v="0"/>
    <s v="Pistachos_Garbi               "/>
    <s v="COA"/>
    <s v="FV A-00006-00002764"/>
    <s v="FV A-00006-00002764.pdf"/>
    <s v="RE R-00008-00003382"/>
    <s v="RE R-00008-00003382.pdf"/>
    <s v="SA"/>
    <n v="135114"/>
    <d v="2025-08-18T00:00:00"/>
    <s v="Gab_Hernandez"/>
    <n v="155785"/>
    <d v="2025-08-18T00:00:00"/>
    <d v="2025-08-18T00:00:00"/>
    <d v="2025-08-18T00:00:00"/>
    <d v="2025-08-18T00:00:00"/>
    <d v="2025-08-18T00:00:00"/>
    <d v="2025-08-18T00:00:00"/>
    <d v="2025-08-18T00:00:00"/>
    <m/>
    <m/>
    <m/>
    <m/>
    <m/>
    <m/>
    <s v="Pistachos "/>
    <n v="20"/>
    <n v="40"/>
  </r>
  <r>
    <n v="77974"/>
    <n v="1"/>
    <s v="1"/>
    <x v="24"/>
    <s v="PIST001   "/>
    <x v="5"/>
    <s v="Pistachos"/>
    <s v="Pistachos                                         "/>
    <n v="70"/>
    <n v="19.05"/>
    <n v="70"/>
    <n v="70"/>
    <n v="700"/>
    <x v="0"/>
    <s v="Pistachos_Garbi               "/>
    <s v="COA"/>
    <s v="FV A-00006-00002766"/>
    <s v="FV A-00006-00002766.pdf"/>
    <s v="RE R-00008-00003385"/>
    <s v="RE R-00008-00003385.pdf"/>
    <s v="SA"/>
    <n v="135441"/>
    <d v="2025-08-19T00:00:00"/>
    <s v="Gab_Hernandez"/>
    <n v="156314"/>
    <d v="2025-08-19T00:00:00"/>
    <d v="2025-08-19T00:00:00"/>
    <d v="2025-08-19T00:00:00"/>
    <d v="2025-08-19T00:00:00"/>
    <d v="2025-08-19T00:00:00"/>
    <d v="2025-08-19T00:00:00"/>
    <d v="2025-08-19T00:00:00"/>
    <m/>
    <m/>
    <m/>
    <m/>
    <m/>
    <m/>
    <s v="Pistachos "/>
    <n v="70"/>
    <n v="140"/>
  </r>
  <r>
    <n v="77972"/>
    <n v="1"/>
    <s v="1"/>
    <x v="24"/>
    <s v="PIST004   "/>
    <x v="4"/>
    <s v="Pistachos"/>
    <s v="Pistachos                                         "/>
    <n v="70"/>
    <n v="37.9"/>
    <n v="70"/>
    <n v="70"/>
    <n v="700"/>
    <x v="0"/>
    <s v="Pistachos_Garbi               "/>
    <s v="COA"/>
    <s v="FV A-00006-00002766"/>
    <s v="FV A-00006-00002766(1).pdf"/>
    <s v="RE R-00008-00003385"/>
    <s v="RE R-00008-00003385.pdf"/>
    <s v="SA"/>
    <n v="135442"/>
    <d v="2025-08-19T00:00:00"/>
    <s v="Gab_Hernandez"/>
    <n v="156282"/>
    <d v="2025-08-19T00:00:00"/>
    <d v="2025-08-19T00:00:00"/>
    <d v="2025-08-19T00:00:00"/>
    <d v="2025-08-19T00:00:00"/>
    <d v="2025-08-19T00:00:00"/>
    <d v="2025-08-19T00:00:00"/>
    <d v="2025-08-19T00:00:00"/>
    <m/>
    <m/>
    <m/>
    <m/>
    <m/>
    <m/>
    <s v="Pistachos "/>
    <n v="70"/>
    <n v="140"/>
  </r>
  <r>
    <n v="78041"/>
    <n v="1"/>
    <s v="1"/>
    <x v="65"/>
    <s v="PIST004   "/>
    <x v="4"/>
    <s v="Pistachos"/>
    <s v="Pistachos                                         "/>
    <n v="1"/>
    <n v="27"/>
    <n v="1"/>
    <n v="1"/>
    <n v="10"/>
    <x v="0"/>
    <s v="Pistachos_Garbi               "/>
    <s v="COA"/>
    <s v="FV A-00006-00002768"/>
    <s v="FV A-00006-00002768.pdf"/>
    <s v="RE R-00008-00003387"/>
    <s v="RE R-00008-00003387.pdf"/>
    <s v="SA"/>
    <n v="135919"/>
    <d v="2025-08-21T00:00:00"/>
    <s v="Gab_Hernandez"/>
    <n v="156708"/>
    <d v="2025-08-21T00:00:00"/>
    <d v="2025-08-21T00:00:00"/>
    <d v="2025-08-21T00:00:00"/>
    <d v="2025-08-21T00:00:00"/>
    <d v="2025-08-21T00:00:00"/>
    <d v="2025-08-21T00:00:00"/>
    <d v="2025-08-21T00:00:00"/>
    <m/>
    <m/>
    <m/>
    <m/>
    <m/>
    <m/>
    <s v="Pistachos "/>
    <n v="1"/>
    <n v="2"/>
  </r>
  <r>
    <n v="78419"/>
    <n v="1"/>
    <s v="1"/>
    <x v="22"/>
    <s v="PIST003   "/>
    <x v="6"/>
    <s v="Pistachos"/>
    <s v="Pistachos                                         "/>
    <n v="10"/>
    <n v="25.067"/>
    <n v="10"/>
    <n v="10"/>
    <n v="100"/>
    <x v="0"/>
    <s v="Pistachos_Garbi               "/>
    <s v="COA"/>
    <s v="FV A-00090-00030298"/>
    <s v="FV A-00090-00030298.pdf"/>
    <s v="RE R-00008-00003394"/>
    <s v="RE R-00008-00003394.pdf"/>
    <s v="SA"/>
    <n v="137482"/>
    <d v="2025-09-02T00:00:00"/>
    <s v="Gab_Hernandez"/>
    <n v="158544"/>
    <d v="2025-09-01T00:00:00"/>
    <d v="2025-09-01T00:00:00"/>
    <d v="2025-09-01T00:00:00"/>
    <d v="2025-09-01T00:00:00"/>
    <d v="2025-09-01T00:00:00"/>
    <d v="2025-09-01T00:00:00"/>
    <d v="2025-09-01T00:00:00"/>
    <m/>
    <m/>
    <m/>
    <m/>
    <m/>
    <m/>
    <s v="Pistachos "/>
    <n v="10"/>
    <n v="20"/>
  </r>
  <r>
    <n v="77768"/>
    <n v="1"/>
    <s v="1"/>
    <x v="22"/>
    <s v="PIST002   "/>
    <x v="2"/>
    <s v="Pistachos"/>
    <s v="Pistachos                                         "/>
    <n v="350"/>
    <n v="28.9"/>
    <n v="350"/>
    <n v="350"/>
    <n v="3500"/>
    <x v="0"/>
    <s v="Pistachos_Garbi               "/>
    <s v="COA"/>
    <s v="FV A-00090-00030298"/>
    <s v="FV A-00090-00030298(1).pdf"/>
    <s v="RE R-00008-00003394"/>
    <s v="RE R-00008-00003394.pdf"/>
    <s v="SA"/>
    <n v="137574"/>
    <d v="2025-09-02T00:00:00"/>
    <s v="Gab_Hernandez"/>
    <n v="155024"/>
    <d v="2025-08-12T00:00:00"/>
    <d v="2025-09-02T00:00:00"/>
    <d v="2025-09-02T00:00:00"/>
    <d v="2025-09-02T00:00:00"/>
    <d v="2025-09-02T00:00:00"/>
    <d v="2025-09-02T00:00:00"/>
    <d v="2025-09-02T00:00:00"/>
    <m/>
    <m/>
    <m/>
    <m/>
    <m/>
    <m/>
    <s v="Pistachos "/>
    <n v="350"/>
    <n v="700"/>
  </r>
  <r>
    <n v="77767"/>
    <n v="2"/>
    <s v="1"/>
    <x v="22"/>
    <s v="PIST002   "/>
    <x v="2"/>
    <s v="Pistachos"/>
    <s v="Pistachos                                         "/>
    <n v="350"/>
    <n v="28"/>
    <n v="350"/>
    <n v="350"/>
    <n v="3500"/>
    <x v="0"/>
    <s v="Pistachos_Garbi               "/>
    <s v="COA"/>
    <s v="FV A-00090-00030298"/>
    <s v="FV A-00090-00030298(2).pdf"/>
    <s v="RE R-00008-00003395"/>
    <s v="RE R-00008-00003395.pdf"/>
    <s v="SA"/>
    <n v="137575"/>
    <d v="2025-09-02T00:00:00"/>
    <s v="Gab_Hernandez"/>
    <n v="155025"/>
    <d v="2025-08-12T00:00:00"/>
    <d v="2025-08-12T00:00:00"/>
    <d v="2025-09-02T00:00:00"/>
    <d v="2025-09-02T00:00:00"/>
    <d v="2025-09-02T00:00:00"/>
    <d v="2025-09-02T00:00:00"/>
    <d v="2025-09-02T00:00:00"/>
    <m/>
    <m/>
    <m/>
    <m/>
    <m/>
    <m/>
    <s v="Pistachos "/>
    <n v="350"/>
    <n v="700"/>
  </r>
  <r>
    <n v="76193"/>
    <n v="3"/>
    <s v="1"/>
    <x v="11"/>
    <s v="PIST004   "/>
    <x v="4"/>
    <s v="Pistachos"/>
    <s v="Pistachos                                         "/>
    <n v="140"/>
    <n v="31.3"/>
    <n v="140"/>
    <n v="140"/>
    <n v="1400"/>
    <x v="0"/>
    <s v="Pistachos_Garbi               "/>
    <s v="COA"/>
    <s v="FV A-00006-00002773"/>
    <s v="FV A-00006-00002773.pdf"/>
    <s v="RE R-00008-00003396"/>
    <s v="RE R-00008-00003396.pdf"/>
    <s v="SA"/>
    <n v="137584"/>
    <d v="2025-09-02T00:00:00"/>
    <s v="Gab_Hernandez"/>
    <n v="155697"/>
    <d v="2025-08-15T00:00:00"/>
    <d v="2025-09-02T00:00:00"/>
    <d v="2025-09-02T00:00:00"/>
    <d v="2025-09-02T00:00:00"/>
    <d v="2025-09-02T00:00:00"/>
    <d v="2025-09-02T00:00:00"/>
    <d v="2025-09-02T00:00:00"/>
    <m/>
    <m/>
    <m/>
    <m/>
    <m/>
    <m/>
    <s v="Pistachos "/>
    <n v="140"/>
    <n v="280"/>
  </r>
  <r>
    <n v="77872"/>
    <n v="2"/>
    <s v="1"/>
    <x v="3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777"/>
    <s v="FV A-00006-00002777.pdf"/>
    <s v="RE R-00008-00003401"/>
    <s v="RE R-00008-00003401.pdf"/>
    <s v="SA"/>
    <n v="137715"/>
    <d v="2025-09-03T00:00:00"/>
    <s v="Gab_Hernandez"/>
    <n v="155634"/>
    <d v="2025-08-15T00:00:00"/>
    <d v="2025-08-15T00:00:00"/>
    <d v="2025-09-03T00:00:00"/>
    <d v="2025-09-03T00:00:00"/>
    <d v="2025-09-03T00:00:00"/>
    <d v="2025-09-03T00:00:00"/>
    <d v="2025-09-03T00:00:00"/>
    <m/>
    <m/>
    <m/>
    <m/>
    <m/>
    <m/>
    <s v="Pistachos "/>
    <n v="70"/>
    <n v="140"/>
  </r>
  <r>
    <n v="77872"/>
    <n v="1"/>
    <s v="1"/>
    <x v="3"/>
    <s v="PIST002   "/>
    <x v="2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778"/>
    <s v="FV A-00006-00002778.pdf"/>
    <s v="RE R-00008-00003402"/>
    <s v="RE R-00008-00003402.pdf"/>
    <s v="SA"/>
    <n v="137716"/>
    <d v="2025-09-03T00:00:00"/>
    <s v="Gab_Hernandez"/>
    <n v="155633"/>
    <d v="2025-08-15T00:00:00"/>
    <d v="2025-08-15T00:00:00"/>
    <d v="2025-09-03T00:00:00"/>
    <d v="2025-09-03T00:00:00"/>
    <d v="2025-09-03T00:00:00"/>
    <d v="2025-09-03T00:00:00"/>
    <d v="2025-09-03T00:00:00"/>
    <m/>
    <m/>
    <m/>
    <m/>
    <m/>
    <m/>
    <s v="Pistachos "/>
    <n v="140"/>
    <n v="280"/>
  </r>
  <r>
    <n v="77734"/>
    <n v="6"/>
    <s v="1"/>
    <x v="37"/>
    <s v="PIST004   "/>
    <x v="4"/>
    <s v="Pistachos"/>
    <s v="Pistachos                                         "/>
    <n v="550"/>
    <n v="29.9"/>
    <n v="550"/>
    <n v="550"/>
    <n v="5500"/>
    <x v="0"/>
    <s v="Pistachos_Garbi               "/>
    <s v="COA"/>
    <s v="FV A-00006-00002779"/>
    <s v="FV A-00006-00002779.pdf"/>
    <s v="RE R-00008-00003403"/>
    <s v="RE R-00008-00003403.pdf"/>
    <s v="SA"/>
    <n v="137842"/>
    <d v="2025-09-03T00:00:00"/>
    <s v="Gab_Hernandez"/>
    <n v="154945"/>
    <d v="2025-08-12T00:00:00"/>
    <d v="2025-08-15T00:00:00"/>
    <d v="2025-09-03T00:00:00"/>
    <d v="2025-09-03T00:00:00"/>
    <d v="2025-09-03T00:00:00"/>
    <d v="2025-09-03T00:00:00"/>
    <d v="2025-09-03T00:00:00"/>
    <m/>
    <m/>
    <m/>
    <m/>
    <m/>
    <m/>
    <s v="Pistachos "/>
    <n v="550"/>
    <n v="1100"/>
  </r>
  <r>
    <n v="78574"/>
    <n v="2"/>
    <s v="1"/>
    <x v="22"/>
    <s v="PIST003   "/>
    <x v="6"/>
    <s v="Pistachos"/>
    <s v="Pistachos                                         "/>
    <n v="257"/>
    <n v="34.78"/>
    <n v="257"/>
    <n v="257"/>
    <n v="2570"/>
    <x v="0"/>
    <s v="Pistachos_Garbi               "/>
    <s v="COA"/>
    <s v="FV A-00006-00002781"/>
    <s v="FV A-00006-00002781.pdf"/>
    <s v="RE R-00008-00003407"/>
    <s v="RE R-00008-00003407.pdf"/>
    <s v="SA"/>
    <n v="138259"/>
    <d v="2025-09-05T00:00:00"/>
    <s v="Gab_Hernandez"/>
    <n v="159465"/>
    <d v="2025-09-05T00:00:00"/>
    <d v="2025-09-05T00:00:00"/>
    <d v="2025-09-05T00:00:00"/>
    <d v="2025-09-05T00:00:00"/>
    <d v="2025-09-05T00:00:00"/>
    <d v="2025-09-05T00:00:00"/>
    <d v="2025-09-05T00:00:00"/>
    <m/>
    <m/>
    <m/>
    <m/>
    <m/>
    <m/>
    <s v="Pistachos "/>
    <n v="257"/>
    <n v="514"/>
  </r>
  <r>
    <n v="78574"/>
    <n v="3"/>
    <s v="1"/>
    <x v="22"/>
    <s v="PIST003   "/>
    <x v="6"/>
    <s v="Pistachos"/>
    <s v="Pistachos                                         "/>
    <n v="63"/>
    <n v="34.78"/>
    <n v="63"/>
    <n v="63"/>
    <n v="630"/>
    <x v="0"/>
    <s v="Pistachos_Garbi               "/>
    <s v="COA"/>
    <s v="FV A-00090-00030356"/>
    <s v="FV A-00090-00030356.pdf"/>
    <s v="RE R-00008-00003408"/>
    <s v="RE R-00008-00003408.pdf"/>
    <s v="SA"/>
    <n v="138284"/>
    <d v="2025-09-05T00:00:00"/>
    <s v="Gab_Hernandez"/>
    <n v="159468"/>
    <d v="2025-09-05T00:00:00"/>
    <d v="2025-09-05T00:00:00"/>
    <d v="2025-09-05T00:00:00"/>
    <d v="2025-09-05T00:00:00"/>
    <d v="2025-09-05T00:00:00"/>
    <d v="2025-09-05T00:00:00"/>
    <d v="2025-09-05T00:00:00"/>
    <m/>
    <m/>
    <m/>
    <m/>
    <m/>
    <m/>
    <s v="Pistachos "/>
    <n v="63"/>
    <n v="126"/>
  </r>
  <r>
    <n v="78633"/>
    <n v="1"/>
    <s v="1"/>
    <x v="66"/>
    <s v="PIST003   "/>
    <x v="6"/>
    <s v="Pistachos"/>
    <s v="Pistachos                                         "/>
    <n v="1"/>
    <n v="35.15"/>
    <n v="1"/>
    <n v="1"/>
    <n v="10"/>
    <x v="0"/>
    <s v="Pistachos_Garbi               "/>
    <s v="COA"/>
    <s v="FV A-00006-00002784"/>
    <s v="FV A-00006-00002784.pdf"/>
    <s v="RE R-00008-00003411"/>
    <s v="RE R-00008-00003411.pdf"/>
    <s v="SA"/>
    <n v="138505"/>
    <d v="2025-09-08T00:00:00"/>
    <s v="Gab_Hernandez"/>
    <n v="159776"/>
    <d v="2025-09-08T00:00:00"/>
    <d v="2025-09-08T00:00:00"/>
    <d v="2025-09-08T00:00:00"/>
    <d v="2025-09-08T00:00:00"/>
    <d v="2025-09-08T00:00:00"/>
    <d v="2025-09-08T00:00:00"/>
    <d v="2025-09-08T00:00:00"/>
    <m/>
    <m/>
    <m/>
    <m/>
    <m/>
    <m/>
    <s v="Pistachos "/>
    <n v="1"/>
    <n v="2"/>
  </r>
  <r>
    <n v="78629"/>
    <n v="1"/>
    <s v="1"/>
    <x v="67"/>
    <s v="PIST007   "/>
    <x v="7"/>
    <s v="Pistachos"/>
    <s v="Pistachos                                         "/>
    <n v="35"/>
    <n v="38"/>
    <n v="35"/>
    <n v="35"/>
    <n v="350"/>
    <x v="0"/>
    <s v="Pistachos_Garbi               "/>
    <s v="COA"/>
    <s v="FV A-00006-00002783"/>
    <s v="FV A-00006-00002783.pdf"/>
    <s v="RE R-00008-00003410"/>
    <s v="RE R-00008-00003410.pdf"/>
    <s v="SA"/>
    <n v="138477"/>
    <d v="2025-09-08T00:00:00"/>
    <s v="Gab_Hernandez"/>
    <n v="159751"/>
    <d v="2025-09-08T00:00:00"/>
    <d v="2025-09-08T00:00:00"/>
    <d v="2025-09-08T00:00:00"/>
    <d v="2025-09-08T00:00:00"/>
    <d v="2025-09-08T00:00:00"/>
    <d v="2025-09-08T00:00:00"/>
    <d v="2025-09-08T00:00:00"/>
    <m/>
    <m/>
    <m/>
    <m/>
    <m/>
    <m/>
    <s v="Pistachos "/>
    <n v="35"/>
    <n v="70"/>
  </r>
  <r>
    <n v="78619"/>
    <n v="1"/>
    <s v="1"/>
    <x v="68"/>
    <s v="PIST007   "/>
    <x v="7"/>
    <s v="Pistachos"/>
    <s v="Pistachos                                         "/>
    <n v="1"/>
    <n v="38"/>
    <n v="1"/>
    <n v="1"/>
    <n v="10"/>
    <x v="0"/>
    <s v="Pistachos_Murillo             "/>
    <s v="COA"/>
    <s v="FV A-00006-00002782"/>
    <s v="FV A-00006-00002782.pdf"/>
    <s v="RE R-00008-00003409"/>
    <s v="RE R-00008-00003409.pdf"/>
    <s v="SA"/>
    <n v="138433"/>
    <d v="2025-09-08T00:00:00"/>
    <s v="Gab_Hernandez"/>
    <n v="159708"/>
    <d v="2025-09-08T00:00:00"/>
    <d v="2025-09-08T00:00:00"/>
    <d v="2025-09-08T00:00:00"/>
    <d v="2025-09-08T00:00:00"/>
    <d v="2025-09-08T00:00:00"/>
    <d v="2025-09-08T00:00:00"/>
    <d v="2025-09-08T00:00:00"/>
    <m/>
    <m/>
    <m/>
    <m/>
    <m/>
    <m/>
    <s v="Pistachos "/>
    <n v="1"/>
    <n v="2"/>
  </r>
  <r>
    <n v="78193"/>
    <n v="1"/>
    <s v="1"/>
    <x v="25"/>
    <s v="PIST001   "/>
    <x v="5"/>
    <s v="Pistachos"/>
    <s v="Pistachos                                         "/>
    <n v="30"/>
    <n v="20.8"/>
    <n v="30"/>
    <n v="30"/>
    <n v="300"/>
    <x v="0"/>
    <s v="Pistachos_Garbi               "/>
    <s v="COA"/>
    <s v="FV A-00006-00002769"/>
    <s v="FV A-00006-00002769.pdf"/>
    <s v="RE R-00008-00003389"/>
    <s v="RE R-00008-00003389.pdf"/>
    <s v="SA"/>
    <n v="136607"/>
    <d v="2025-09-08T00:00:00"/>
    <s v="Gab_Hernandez"/>
    <n v="157489"/>
    <d v="2025-08-25T00:00:00"/>
    <d v="2025-08-25T00:00:00"/>
    <d v="2025-08-25T00:00:00"/>
    <d v="2025-08-25T00:00:00"/>
    <d v="2025-08-25T00:00:00"/>
    <d v="2025-08-25T00:00:00"/>
    <d v="2025-09-08T00:00:00"/>
    <m/>
    <m/>
    <m/>
    <m/>
    <m/>
    <m/>
    <s v="Pistachos "/>
    <n v="30"/>
    <n v="60"/>
  </r>
  <r>
    <n v="77870"/>
    <n v="1"/>
    <s v="1"/>
    <x v="16"/>
    <s v="PIST002   "/>
    <x v="2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788"/>
    <s v="FV A-00006-00002788.pdf"/>
    <s v="RE R-00008-00003425"/>
    <s v="RE R-00008-00003425.pdf"/>
    <s v="SA"/>
    <n v="139388"/>
    <d v="2025-09-12T00:00:00"/>
    <s v="Gab_Hernandez"/>
    <n v="155628"/>
    <d v="2025-08-15T00:00:00"/>
    <d v="2025-08-15T00:00:00"/>
    <d v="2025-09-08T00:00:00"/>
    <d v="2025-09-12T00:00:00"/>
    <d v="2025-09-12T00:00:00"/>
    <d v="2025-09-12T00:00:00"/>
    <d v="2025-09-12T00:00:00"/>
    <m/>
    <m/>
    <m/>
    <m/>
    <m/>
    <m/>
    <s v="Pistachos "/>
    <n v="140"/>
    <n v="280"/>
  </r>
  <r>
    <n v="78610"/>
    <n v="1"/>
    <s v="1"/>
    <x v="69"/>
    <s v="PIST003   "/>
    <x v="6"/>
    <s v="Pistachos"/>
    <s v="Pistachos                                         "/>
    <n v="70"/>
    <n v="35.15"/>
    <n v="70"/>
    <n v="70"/>
    <n v="700"/>
    <x v="0"/>
    <s v="Pistachos_Garbi               "/>
    <s v="COA"/>
    <s v="FV A-00006-00002790"/>
    <s v="FV A-00006-00002790.pdf"/>
    <s v="RE R-00008-00003427"/>
    <s v="RE R-00008-00003427.pdf"/>
    <s v="SA"/>
    <n v="139494"/>
    <d v="2025-09-15T00:00:00"/>
    <s v="Gab_Hernandez"/>
    <n v="159660"/>
    <d v="2025-09-08T00:00:00"/>
    <d v="2025-09-08T00:00:00"/>
    <d v="2025-09-08T00:00:00"/>
    <d v="2025-09-15T00:00:00"/>
    <d v="2025-09-15T00:00:00"/>
    <d v="2025-09-15T00:00:00"/>
    <d v="2025-09-15T00:00:00"/>
    <m/>
    <m/>
    <m/>
    <m/>
    <m/>
    <m/>
    <s v="Pistachos "/>
    <n v="70"/>
    <n v="140"/>
  </r>
  <r>
    <n v="78569"/>
    <n v="1"/>
    <s v="1"/>
    <x v="3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793"/>
    <s v="FV A-00006-00002793.pdf"/>
    <s v="RE R-00008-00003430"/>
    <s v="RE R-00008-00003430.pdf"/>
    <s v="SA"/>
    <n v="139495"/>
    <d v="2025-09-15T00:00:00"/>
    <s v="Gab_Hernandez"/>
    <n v="159432"/>
    <d v="2025-09-05T00:00:00"/>
    <d v="2025-09-05T00:00:00"/>
    <d v="2025-09-08T00:00:00"/>
    <d v="2025-09-15T00:00:00"/>
    <d v="2025-09-15T00:00:00"/>
    <d v="2025-09-15T00:00:00"/>
    <d v="2025-09-15T00:00:00"/>
    <m/>
    <m/>
    <m/>
    <m/>
    <m/>
    <m/>
    <s v="Pistachos "/>
    <n v="70"/>
    <n v="140"/>
  </r>
  <r>
    <n v="78410"/>
    <n v="1"/>
    <s v="1"/>
    <x v="70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789"/>
    <s v="FV A-00006-00002789.pdf"/>
    <s v="RE R-00008-00003426"/>
    <s v="RE R-00008-00003426.pdf"/>
    <s v="SA"/>
    <n v="139493"/>
    <d v="2025-09-15T00:00:00"/>
    <s v="Gab_Hernandez"/>
    <n v="158496"/>
    <d v="2025-09-01T00:00:00"/>
    <d v="2025-09-01T00:00:00"/>
    <d v="2025-09-08T00:00:00"/>
    <d v="2025-09-15T00:00:00"/>
    <d v="2025-09-15T00:00:00"/>
    <d v="2025-09-15T00:00:00"/>
    <d v="2025-09-15T00:00:00"/>
    <m/>
    <m/>
    <m/>
    <m/>
    <m/>
    <m/>
    <s v="Pistachos "/>
    <n v="70"/>
    <n v="140"/>
  </r>
  <r>
    <n v="78359"/>
    <n v="1"/>
    <s v="1"/>
    <x v="71"/>
    <s v="PIST003   "/>
    <x v="6"/>
    <s v="Pistachos"/>
    <s v="Pistachos                                         "/>
    <n v="70"/>
    <n v="35.15"/>
    <n v="70"/>
    <n v="70"/>
    <n v="700"/>
    <x v="0"/>
    <s v="Pistachos_Garbi               "/>
    <s v="COA"/>
    <s v="FV A-00006-00002791"/>
    <s v="FV A-00006-00002791.pdf"/>
    <s v="RE R-00008-00003428"/>
    <s v="RE R-00008-00003428.pdf"/>
    <s v="SA"/>
    <n v="139496"/>
    <d v="2025-09-15T00:00:00"/>
    <s v="Gab_Hernandez"/>
    <n v="158252"/>
    <d v="2025-08-29T00:00:00"/>
    <d v="2025-08-29T00:00:00"/>
    <d v="2025-09-08T00:00:00"/>
    <d v="2025-09-15T00:00:00"/>
    <d v="2025-09-15T00:00:00"/>
    <d v="2025-09-15T00:00:00"/>
    <d v="2025-09-15T00:00:00"/>
    <m/>
    <m/>
    <m/>
    <m/>
    <m/>
    <m/>
    <s v="Pistachos "/>
    <n v="70"/>
    <n v="140"/>
  </r>
  <r>
    <n v="78946"/>
    <n v="1"/>
    <s v="1"/>
    <x v="32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796"/>
    <s v="FV A-00006-00002796.pdf"/>
    <s v="RE R-00008-00003434"/>
    <s v="RE R-00008-00003434.pdf"/>
    <s v="SA"/>
    <n v="139866"/>
    <d v="2025-09-16T00:00:00"/>
    <s v="Gab_Hernandez"/>
    <n v="161399"/>
    <d v="2025-09-16T00:00:00"/>
    <d v="2025-09-16T00:00:00"/>
    <d v="2025-09-16T00:00:00"/>
    <d v="2025-09-16T00:00:00"/>
    <d v="2025-09-16T00:00:00"/>
    <d v="2025-09-16T00:00:00"/>
    <d v="2025-09-16T00:00:00"/>
    <m/>
    <m/>
    <m/>
    <m/>
    <m/>
    <m/>
    <s v="Pistachos "/>
    <n v="70"/>
    <n v="140"/>
  </r>
  <r>
    <n v="78203"/>
    <n v="1"/>
    <s v="1"/>
    <x v="31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795"/>
    <s v="FV A-00006-00002795.pdf"/>
    <s v="RE R-00008-00003432"/>
    <s v="RE R-00008-00003432.pdf"/>
    <s v="SA"/>
    <n v="139650"/>
    <d v="2025-09-16T00:00:00"/>
    <s v="Gab_Hernandez"/>
    <n v="157529"/>
    <d v="2025-08-26T00:00:00"/>
    <d v="2025-08-26T00:00:00"/>
    <d v="2025-09-08T00:00:00"/>
    <d v="2025-09-16T00:00:00"/>
    <d v="2025-09-16T00:00:00"/>
    <d v="2025-09-16T00:00:00"/>
    <d v="2025-09-16T00:00:00"/>
    <m/>
    <m/>
    <m/>
    <m/>
    <m/>
    <m/>
    <s v="Pistachos "/>
    <n v="70"/>
    <n v="140"/>
  </r>
  <r>
    <n v="78910"/>
    <n v="1"/>
    <s v="1"/>
    <x v="33"/>
    <s v="PIST003   "/>
    <x v="6"/>
    <s v="Pistachos"/>
    <s v="Pistachos                                         "/>
    <n v="210"/>
    <n v="35.15"/>
    <n v="210"/>
    <n v="210"/>
    <n v="2100"/>
    <x v="0"/>
    <s v="Pistachos_Garbi               "/>
    <s v="COA"/>
    <s v="FV A-00006-00002797"/>
    <s v="FV A-00006-00002797.pdf"/>
    <s v="RE R-00008-00003435"/>
    <s v="RE R-00008-00003435.pdf"/>
    <s v="SA"/>
    <n v="139911"/>
    <d v="2025-09-17T00:00:00"/>
    <s v="Gab_Hernandez"/>
    <n v="161245"/>
    <d v="2025-09-16T00:00:00"/>
    <d v="2025-09-16T00:00:00"/>
    <d v="2025-09-17T00:00:00"/>
    <d v="2025-09-17T00:00:00"/>
    <d v="2025-09-17T00:00:00"/>
    <d v="2025-09-17T00:00:00"/>
    <d v="2025-09-17T00:00:00"/>
    <m/>
    <m/>
    <m/>
    <m/>
    <m/>
    <m/>
    <s v="Pistachos "/>
    <n v="210"/>
    <n v="420"/>
  </r>
  <r>
    <n v="77768"/>
    <n v="3"/>
    <s v="1"/>
    <x v="22"/>
    <s v="PIST002   "/>
    <x v="2"/>
    <s v="Pistachos"/>
    <s v="Pistachos                                         "/>
    <n v="350"/>
    <n v="28.9"/>
    <n v="350"/>
    <n v="350"/>
    <n v="3500"/>
    <x v="0"/>
    <s v="Pistachos_Garbi               "/>
    <s v="COA"/>
    <s v="FV A-00006-00002798"/>
    <s v="FV A-00006-00002798(1).pdf"/>
    <s v="RE R-00008-00003436"/>
    <s v="RE R-00008-00003436.pdf"/>
    <s v="SA"/>
    <n v="140008"/>
    <d v="2025-09-17T00:00:00"/>
    <s v="Gab_Hernandez"/>
    <n v="158637"/>
    <d v="2025-09-02T00:00:00"/>
    <d v="2025-09-02T00:00:00"/>
    <d v="2025-09-08T00:00:00"/>
    <d v="2025-09-17T00:00:00"/>
    <d v="2025-09-17T00:00:00"/>
    <d v="2025-09-17T00:00:00"/>
    <d v="2025-09-17T00:00:00"/>
    <m/>
    <m/>
    <m/>
    <m/>
    <m/>
    <m/>
    <s v="Pistachos "/>
    <n v="350"/>
    <n v="700"/>
  </r>
  <r>
    <n v="77768"/>
    <n v="2"/>
    <s v="1"/>
    <x v="22"/>
    <s v="PIST002   "/>
    <x v="2"/>
    <s v="Pistachos"/>
    <s v="Pistachos                                         "/>
    <n v="70"/>
    <n v="28.9"/>
    <n v="70"/>
    <n v="70"/>
    <n v="700"/>
    <x v="0"/>
    <s v="Pistachos_Garbi               "/>
    <s v="COA"/>
    <s v="FV A-00006-00002798"/>
    <s v="FV A-00006-00002798.pdf"/>
    <s v="RE R-00008-00003436"/>
    <s v="RE R-00008-00003436.pdf"/>
    <s v="SA"/>
    <n v="140010"/>
    <d v="2025-09-17T00:00:00"/>
    <s v="Gab_Hernandez"/>
    <n v="158545"/>
    <d v="2025-09-01T00:00:00"/>
    <d v="2025-09-02T00:00:00"/>
    <d v="2025-09-02T00:00:00"/>
    <d v="2025-09-17T00:00:00"/>
    <d v="2025-09-17T00:00:00"/>
    <d v="2025-09-17T00:00:00"/>
    <d v="2025-09-17T00:00:00"/>
    <m/>
    <m/>
    <m/>
    <m/>
    <m/>
    <m/>
    <s v="Pistachos "/>
    <n v="70"/>
    <n v="140"/>
  </r>
  <r>
    <n v="79044"/>
    <n v="1"/>
    <s v="1"/>
    <x v="31"/>
    <s v="PIST002   "/>
    <x v="2"/>
    <s v="Pistachos"/>
    <s v="Pistachos                                         "/>
    <n v="140"/>
    <n v="37"/>
    <n v="140"/>
    <n v="140"/>
    <n v="1400"/>
    <x v="0"/>
    <s v="Pistachos_Garbi               "/>
    <s v="COA"/>
    <s v="FV A-00006-00002799"/>
    <s v="FV A-00006-00002799.pdf"/>
    <s v="RE R-00008-00003438"/>
    <s v="RE R-00008-00003438.pdf"/>
    <s v="SA"/>
    <n v="140248"/>
    <d v="2025-09-19T00:00:00"/>
    <s v="Gab_Hernandez"/>
    <n v="161920"/>
    <d v="2025-09-19T00:00:00"/>
    <d v="2025-09-19T00:00:00"/>
    <d v="2025-09-19T00:00:00"/>
    <d v="2025-09-19T00:00:00"/>
    <d v="2025-09-19T00:00:00"/>
    <d v="2025-09-19T00:00:00"/>
    <d v="2025-09-19T00:00:00"/>
    <m/>
    <m/>
    <m/>
    <m/>
    <m/>
    <m/>
    <s v="Pistachos "/>
    <n v="140"/>
    <n v="280"/>
  </r>
  <r>
    <n v="79124"/>
    <n v="1"/>
    <s v="2"/>
    <x v="60"/>
    <s v="PIST001   "/>
    <x v="5"/>
    <s v="Pistachos"/>
    <s v="Pistachos                                         "/>
    <n v="140"/>
    <n v="17.57"/>
    <n v="140"/>
    <n v="140"/>
    <n v="1400"/>
    <x v="0"/>
    <s v="Pistachos_Garbi               "/>
    <s v="COA"/>
    <s v="FV B-00090-00003844"/>
    <s v="FV B-00090-00003844.pdf"/>
    <s v="RE R-00008-00003439"/>
    <s v="RE R-00008-00003439.pdf"/>
    <s v="SA"/>
    <n v="140766"/>
    <d v="2025-09-22T00:00:00"/>
    <s v="Gab_Hernandez"/>
    <n v="162508"/>
    <d v="2025-09-22T00:00:00"/>
    <d v="2025-09-22T00:00:00"/>
    <d v="2025-09-22T00:00:00"/>
    <d v="2025-09-22T00:00:00"/>
    <d v="2025-09-22T00:00:00"/>
    <d v="2025-09-22T00:00:00"/>
    <d v="2025-09-22T00:00:00"/>
    <m/>
    <m/>
    <m/>
    <m/>
    <m/>
    <m/>
    <s v="Pistachos "/>
    <n v="140"/>
    <n v="280"/>
  </r>
  <r>
    <n v="79197"/>
    <n v="1"/>
    <s v="1"/>
    <x v="32"/>
    <s v="PIST001   "/>
    <x v="5"/>
    <s v="Pistachos"/>
    <s v="Pistachos                                         "/>
    <n v="70"/>
    <n v="20.8"/>
    <n v="70"/>
    <n v="70"/>
    <n v="700"/>
    <x v="0"/>
    <s v="Pistachos_Garbi               "/>
    <s v="COA"/>
    <s v="FV A-00006-00002800"/>
    <s v="FV A-00006-00002800.pdf"/>
    <s v="RE R-00008-00003441"/>
    <s v="RE R-00008-00003441.pdf"/>
    <s v="SA"/>
    <n v="140894"/>
    <d v="2025-09-25T00:00:00"/>
    <s v="Gab_Hernandez"/>
    <n v="163012"/>
    <d v="2025-09-25T00:00:00"/>
    <d v="2025-09-25T00:00:00"/>
    <d v="2025-09-25T00:00:00"/>
    <d v="2025-09-25T00:00:00"/>
    <d v="2025-09-25T00:00:00"/>
    <d v="2025-09-25T00:00:00"/>
    <d v="2025-09-25T00:00:00"/>
    <m/>
    <m/>
    <m/>
    <m/>
    <m/>
    <m/>
    <s v="Pistachos "/>
    <n v="70"/>
    <n v="140"/>
  </r>
  <r>
    <n v="79291"/>
    <n v="1"/>
    <s v="2"/>
    <x v="27"/>
    <s v="PIST001   "/>
    <x v="5"/>
    <s v="Pistachos"/>
    <s v="Pistachos                                         "/>
    <n v="70"/>
    <n v="19.25"/>
    <n v="70"/>
    <n v="70"/>
    <n v="700"/>
    <x v="0"/>
    <s v="Pistachos_Garbi               "/>
    <s v="COA"/>
    <s v="FV A-00090-00030517"/>
    <s v="FV A-00090-00030517.pdf"/>
    <s v="RE R-00008-00003446"/>
    <s v="RE R-00008-00003446.pdf"/>
    <s v="SA"/>
    <n v="141561"/>
    <d v="2025-09-29T00:00:00"/>
    <s v="Gab_Hernandez"/>
    <n v="163494"/>
    <d v="2025-09-29T00:00:00"/>
    <d v="2025-09-29T00:00:00"/>
    <d v="2025-09-29T00:00:00"/>
    <d v="2025-09-29T00:00:00"/>
    <d v="2025-09-29T00:00:00"/>
    <d v="2025-09-29T00:00:00"/>
    <d v="2025-09-29T00:00:00"/>
    <m/>
    <m/>
    <m/>
    <m/>
    <m/>
    <m/>
    <s v="Pistachos "/>
    <n v="70"/>
    <n v="140"/>
  </r>
  <r>
    <n v="78049"/>
    <n v="1"/>
    <s v="1"/>
    <x v="37"/>
    <s v="PIST005   "/>
    <x v="8"/>
    <s v="Pistachos"/>
    <s v="Pistachos                                         "/>
    <n v="980"/>
    <n v="33"/>
    <n v="980"/>
    <n v="980"/>
    <n v="9800"/>
    <x v="0"/>
    <s v="Pistachos_Garbi               "/>
    <s v="COA"/>
    <s v="FV A-00006-00002802"/>
    <s v="FV A-00006-00002802.pdf"/>
    <s v="RE R-00008-00003443"/>
    <s v="RE R-00008-00003443.pdf"/>
    <s v="SA"/>
    <n v="141494"/>
    <d v="2025-09-29T00:00:00"/>
    <s v="Gab_Hernandez"/>
    <n v="156718"/>
    <d v="2025-08-21T00:00:00"/>
    <d v="2025-08-21T00:00:00"/>
    <d v="2025-08-28T00:00:00"/>
    <d v="2025-09-29T00:00:00"/>
    <d v="2025-09-29T00:00:00"/>
    <d v="2025-09-29T00:00:00"/>
    <d v="2025-09-29T00:00:00"/>
    <m/>
    <m/>
    <m/>
    <m/>
    <m/>
    <m/>
    <s v="Pistachos "/>
    <n v="980"/>
    <n v="1960"/>
  </r>
  <r>
    <n v="77734"/>
    <n v="4"/>
    <s v="1"/>
    <x v="37"/>
    <s v="PIST004   "/>
    <x v="4"/>
    <s v="Pistachos"/>
    <s v="Pistachos                                         "/>
    <n v="10"/>
    <n v="27.9"/>
    <n v="10"/>
    <n v="10"/>
    <n v="100"/>
    <x v="0"/>
    <s v="Pistachos_Garbi               "/>
    <s v="COA"/>
    <s v="FV A-00006-00002754"/>
    <s v="FV A-00006-00002754(1).pdf"/>
    <s v="RE R-00008-00003371"/>
    <s v="RE R-00008-00003371.pdf"/>
    <s v="SA"/>
    <n v="141496"/>
    <d v="2025-09-29T00:00:00"/>
    <s v="Gab_Hernandez"/>
    <n v="154941"/>
    <d v="2025-08-12T00:00:00"/>
    <d v="2025-09-26T00:00:00"/>
    <d v="2025-09-26T00:00:00"/>
    <d v="2025-09-29T00:00:00"/>
    <d v="2025-09-29T00:00:00"/>
    <d v="2025-09-29T00:00:00"/>
    <d v="2025-09-29T00:00:00"/>
    <m/>
    <m/>
    <m/>
    <m/>
    <m/>
    <m/>
    <s v="Pistachos "/>
    <n v="10"/>
    <n v="20"/>
  </r>
  <r>
    <n v="77734"/>
    <n v="5"/>
    <s v="1"/>
    <x v="37"/>
    <s v="PIST004   "/>
    <x v="4"/>
    <s v="Pistachos"/>
    <s v="Pistachos                                         "/>
    <n v="10"/>
    <n v="28.9"/>
    <n v="10"/>
    <n v="10"/>
    <n v="100"/>
    <x v="0"/>
    <s v="Pistachos_Garbi               "/>
    <s v="COA"/>
    <s v="FV A-00006-00002754"/>
    <s v="FV A-00006-00002754(2).pdf"/>
    <s v="RE R-00008-00003371"/>
    <s v="RE R-00008-00003371.pdf"/>
    <s v="SA"/>
    <n v="141495"/>
    <d v="2025-09-29T00:00:00"/>
    <s v="Gab_Hernandez"/>
    <n v="154943"/>
    <d v="2025-08-12T00:00:00"/>
    <d v="2025-09-25T00:00:00"/>
    <d v="2025-09-26T00:00:00"/>
    <d v="2025-09-29T00:00:00"/>
    <d v="2025-09-29T00:00:00"/>
    <d v="2025-09-29T00:00:00"/>
    <d v="2025-09-29T00:00:00"/>
    <m/>
    <m/>
    <m/>
    <m/>
    <m/>
    <m/>
    <s v="Pistachos "/>
    <n v="10"/>
    <n v="20"/>
  </r>
  <r>
    <n v="78574"/>
    <n v="4"/>
    <s v="1"/>
    <x v="22"/>
    <s v="PIST003   "/>
    <x v="6"/>
    <s v="Pistachos"/>
    <s v="Pistachos                                         "/>
    <n v="210"/>
    <n v="34.78"/>
    <n v="210"/>
    <n v="210"/>
    <n v="2100"/>
    <x v="0"/>
    <s v="Pistachos_Garbi               "/>
    <s v="COA"/>
    <s v="FV A-00006-00002807"/>
    <s v="FV A-00006-00002807.pdf"/>
    <s v="RE R-00008-00003450"/>
    <s v="RE R-00008-00003450.pdf"/>
    <s v="SA"/>
    <n v="142261"/>
    <d v="2025-10-03T00:00:00"/>
    <s v="Gab_Hernandez"/>
    <n v="159496"/>
    <d v="2025-09-05T00:00:00"/>
    <d v="2025-09-05T00:00:00"/>
    <d v="2025-09-08T00:00:00"/>
    <d v="2025-10-03T00:00:00"/>
    <d v="2025-10-03T00:00:00"/>
    <d v="2025-10-03T00:00:00"/>
    <d v="2025-10-03T00:00:00"/>
    <m/>
    <m/>
    <m/>
    <m/>
    <m/>
    <m/>
    <s v="Pistachos "/>
    <n v="210"/>
    <n v="420"/>
  </r>
  <r>
    <n v="78574"/>
    <n v="1"/>
    <s v="1"/>
    <x v="22"/>
    <s v="PIST002   "/>
    <x v="2"/>
    <s v="Pistachos"/>
    <s v="Pistachos                                         "/>
    <n v="210"/>
    <n v="37"/>
    <n v="210"/>
    <n v="210"/>
    <n v="2100"/>
    <x v="0"/>
    <s v="Pistachos_Garbi               "/>
    <s v="COA"/>
    <s v="FV A-00006-00002807"/>
    <s v="FV A-00006-00002807(1).pdf"/>
    <s v="RE R-00008-00003450"/>
    <s v="RE R-00008-00003450.pdf"/>
    <s v="SA"/>
    <n v="142262"/>
    <d v="2025-10-03T00:00:00"/>
    <s v="Gab_Hernandez"/>
    <n v="159464"/>
    <d v="2025-09-05T00:00:00"/>
    <d v="2025-09-05T00:00:00"/>
    <d v="2025-09-05T00:00:00"/>
    <d v="2025-10-03T00:00:00"/>
    <d v="2025-10-03T00:00:00"/>
    <d v="2025-10-03T00:00:00"/>
    <d v="2025-10-03T00:00:00"/>
    <m/>
    <m/>
    <m/>
    <m/>
    <m/>
    <m/>
    <s v="Pistachos "/>
    <n v="210"/>
    <n v="420"/>
  </r>
  <r>
    <n v="79546"/>
    <n v="1"/>
    <s v="1"/>
    <x v="31"/>
    <s v="PIST005   "/>
    <x v="8"/>
    <s v="Pistachos"/>
    <s v="Pistachos                                         "/>
    <n v="70"/>
    <n v="36"/>
    <n v="70"/>
    <n v="70"/>
    <n v="700"/>
    <x v="0"/>
    <s v="Pistachos_Garbi               "/>
    <s v="COA"/>
    <s v="FV A-00006-00002810"/>
    <s v="FV A-00006-00002810.pdf"/>
    <s v="RE R-00008-00003453"/>
    <s v="RE R-00008-00003453.pdf"/>
    <s v="SA"/>
    <n v="142855"/>
    <d v="2025-10-09T00:00:00"/>
    <s v="Gab_Hernandez"/>
    <n v="164858"/>
    <d v="2025-10-09T00:00:00"/>
    <d v="2025-10-09T00:00:00"/>
    <d v="2025-10-09T00:00:00"/>
    <d v="2025-10-09T00:00:00"/>
    <d v="2025-10-09T00:00:00"/>
    <d v="2025-10-09T00:00:00"/>
    <d v="2025-10-09T00:00:00"/>
    <m/>
    <m/>
    <m/>
    <m/>
    <m/>
    <m/>
    <s v="Pistachos "/>
    <n v="70"/>
    <n v="140"/>
  </r>
  <r>
    <n v="79530"/>
    <n v="1"/>
    <s v="1"/>
    <x v="72"/>
    <s v="PIST007   "/>
    <x v="7"/>
    <s v="Pistachos"/>
    <s v="Pistachos                                         "/>
    <n v="35"/>
    <n v="38"/>
    <n v="35"/>
    <n v="35"/>
    <n v="350"/>
    <x v="0"/>
    <s v="Pistachos_Garbi               "/>
    <s v="COA"/>
    <s v="FV A-00006-00002811"/>
    <s v="FV A-00006-00002811.pdf"/>
    <s v="RE R-00008-00003454"/>
    <s v="RE R-00008-00003454.pdf"/>
    <s v="SA"/>
    <n v="142710"/>
    <d v="2025-10-09T00:00:00"/>
    <s v="Gab_Hernandez"/>
    <n v="164803"/>
    <d v="2025-10-09T00:00:00"/>
    <d v="2025-10-09T00:00:00"/>
    <d v="2025-10-09T00:00:00"/>
    <d v="2025-10-09T00:00:00"/>
    <d v="2025-10-09T00:00:00"/>
    <d v="2025-10-09T00:00:00"/>
    <d v="2025-10-09T00:00:00"/>
    <m/>
    <m/>
    <m/>
    <m/>
    <m/>
    <m/>
    <s v="Pistachos "/>
    <n v="35"/>
    <n v="70"/>
  </r>
  <r>
    <n v="78783"/>
    <n v="1"/>
    <s v="1"/>
    <x v="73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828"/>
    <s v="FV A-00006-00002828.pdf"/>
    <s v="RE R-00008-00003451"/>
    <s v="RE R-00008-00003451.pdf"/>
    <s v="SA"/>
    <n v="142861"/>
    <d v="2025-10-09T00:00:00"/>
    <s v="Gab_Hernandez"/>
    <n v="160578"/>
    <d v="2025-09-11T00:00:00"/>
    <d v="2025-10-09T00:00:00"/>
    <d v="2025-10-09T00:00:00"/>
    <d v="2025-10-09T00:00:00"/>
    <d v="2025-10-09T00:00:00"/>
    <d v="2025-10-09T00:00:00"/>
    <d v="2025-10-09T00:00:00"/>
    <m/>
    <m/>
    <m/>
    <m/>
    <m/>
    <m/>
    <s v="Pistachos "/>
    <n v="70"/>
    <n v="140"/>
  </r>
  <r>
    <n v="78611"/>
    <n v="1"/>
    <s v="1"/>
    <x v="74"/>
    <s v="PIST004   "/>
    <x v="4"/>
    <s v="Pistachos"/>
    <s v="Pistachos                                         "/>
    <n v="70"/>
    <n v="37.9"/>
    <n v="70"/>
    <n v="70"/>
    <n v="700"/>
    <x v="0"/>
    <s v="Pistachos_Garbi               "/>
    <s v="COA"/>
    <s v="FV A-00006-00002805"/>
    <s v="FV A-00006-00002805.pdf"/>
    <s v="RE R-00008-00003448"/>
    <s v="RE R-00008-00003448.pdf"/>
    <s v="SA"/>
    <n v="142720"/>
    <d v="2025-10-09T00:00:00"/>
    <s v="Gab_Hernandez"/>
    <n v="159661"/>
    <d v="2025-09-08T00:00:00"/>
    <d v="2025-09-08T00:00:00"/>
    <d v="2025-09-08T00:00:00"/>
    <d v="2025-10-09T00:00:00"/>
    <d v="2025-10-09T00:00:00"/>
    <d v="2025-10-09T00:00:00"/>
    <d v="2025-10-09T00:00:00"/>
    <m/>
    <m/>
    <m/>
    <m/>
    <m/>
    <m/>
    <s v="Pistachos "/>
    <n v="70"/>
    <n v="140"/>
  </r>
  <r>
    <n v="78205"/>
    <n v="1"/>
    <s v="1"/>
    <x v="31"/>
    <s v="PIST004   "/>
    <x v="4"/>
    <s v="Pistachos"/>
    <s v="Pistachos                                         "/>
    <n v="70"/>
    <n v="37.9"/>
    <n v="70"/>
    <n v="70"/>
    <n v="700"/>
    <x v="0"/>
    <s v="Pistachos_Garbi               "/>
    <s v="COA"/>
    <s v="FV A-00006-00002809"/>
    <s v="FV A-00006-00002809.pdf"/>
    <s v="RE R-00008-00003452"/>
    <s v="RE R-00008-00003452.pdf"/>
    <s v="SA"/>
    <n v="142856"/>
    <d v="2025-10-09T00:00:00"/>
    <s v="Gab_Hernandez"/>
    <n v="157531"/>
    <d v="2025-08-26T00:00:00"/>
    <d v="2025-08-26T00:00:00"/>
    <d v="2025-09-08T00:00:00"/>
    <d v="2025-10-09T00:00:00"/>
    <d v="2025-10-09T00:00:00"/>
    <d v="2025-10-09T00:00:00"/>
    <d v="2025-10-09T00:00:00"/>
    <m/>
    <m/>
    <m/>
    <m/>
    <m/>
    <m/>
    <s v="Pistachos "/>
    <n v="70"/>
    <n v="140"/>
  </r>
  <r>
    <n v="79578"/>
    <n v="1"/>
    <s v="1"/>
    <x v="70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806"/>
    <s v="FV A-00006-00002806.pdf"/>
    <s v="RE R-00008-00003449"/>
    <s v="RE R-00008-00003449.pdf"/>
    <s v="SA"/>
    <n v="143312"/>
    <d v="2025-10-16T00:00:00"/>
    <s v="Gab_Hernandez"/>
    <n v="164970"/>
    <d v="2025-10-13T00:00:00"/>
    <d v="2025-10-16T00:00:00"/>
    <d v="2025-10-16T00:00:00"/>
    <d v="2025-10-16T00:00:00"/>
    <d v="2025-10-16T00:00:00"/>
    <d v="2025-10-16T00:00:00"/>
    <d v="2025-10-16T00:00:00"/>
    <m/>
    <m/>
    <m/>
    <m/>
    <m/>
    <m/>
    <s v="Pistachos "/>
    <n v="70"/>
    <n v="140"/>
  </r>
  <r>
    <n v="79077"/>
    <n v="1"/>
    <s v="1"/>
    <x v="37"/>
    <s v="PIST005   "/>
    <x v="8"/>
    <s v="Pistachos"/>
    <s v="Pistachos                                         "/>
    <n v="1050"/>
    <n v="33"/>
    <n v="1050"/>
    <n v="1050"/>
    <n v="10500"/>
    <x v="0"/>
    <s v="Pistachos_Garbi               "/>
    <s v="COA"/>
    <s v="FV A-00006-00002812"/>
    <s v="FV A-00006-00002812.pdf"/>
    <s v="RE R-00008-00003455"/>
    <s v="RE R-00008-00003455.pdf"/>
    <s v="SA"/>
    <n v="143324"/>
    <d v="2025-10-16T00:00:00"/>
    <s v="Gab_Hernandez"/>
    <n v="162169"/>
    <d v="2025-09-19T00:00:00"/>
    <d v="2025-10-16T00:00:00"/>
    <d v="2025-10-16T00:00:00"/>
    <d v="2025-10-16T00:00:00"/>
    <d v="2025-10-16T00:00:00"/>
    <d v="2025-10-16T00:00:00"/>
    <d v="2025-10-16T00:00:00"/>
    <m/>
    <m/>
    <m/>
    <m/>
    <m/>
    <m/>
    <s v="Pistachos "/>
    <n v="1050"/>
    <n v="2100"/>
  </r>
  <r>
    <n v="78574"/>
    <n v="5"/>
    <s v="1"/>
    <x v="22"/>
    <s v="PIST004   "/>
    <x v="4"/>
    <s v="Pistachos"/>
    <s v="Pistachos                                         "/>
    <n v="420"/>
    <n v="37"/>
    <n v="420"/>
    <n v="420"/>
    <n v="4200"/>
    <x v="0"/>
    <s v="Pistachos_Garbi               "/>
    <s v="COA"/>
    <s v="FV A-00006-00002813"/>
    <s v="FV A-00006-00002813.pdf"/>
    <s v="RE R-00008-00003457"/>
    <s v="RE R-00008-00003457.pdf"/>
    <s v="SA"/>
    <n v="143412"/>
    <d v="2025-10-17T00:00:00"/>
    <s v="Gab_Hernandez"/>
    <n v="164422"/>
    <d v="2025-10-03T00:00:00"/>
    <d v="2025-10-17T00:00:00"/>
    <d v="2025-10-17T00:00:00"/>
    <d v="2025-10-17T00:00:00"/>
    <d v="2025-10-17T00:00:00"/>
    <d v="2025-10-17T00:00:00"/>
    <d v="2025-10-17T00:00:00"/>
    <m/>
    <m/>
    <m/>
    <m/>
    <m/>
    <m/>
    <s v="Pistachos "/>
    <n v="420"/>
    <n v="840"/>
  </r>
  <r>
    <n v="79882"/>
    <n v="1"/>
    <s v="2"/>
    <x v="5"/>
    <s v="PIST001   "/>
    <x v="5"/>
    <s v="Pistachos"/>
    <s v="Pistachos                                         "/>
    <n v="70"/>
    <n v="18.18"/>
    <n v="70"/>
    <n v="70"/>
    <n v="700"/>
    <x v="0"/>
    <s v="Pistachos_Garbi               "/>
    <s v="COA"/>
    <s v="FV B-00090-00000001"/>
    <s v="FV B-00090-00000001.pdf"/>
    <s v="RE R-00008-00003459"/>
    <s v="RE R-00008-00003459.pdf"/>
    <s v="SA"/>
    <n v="144063"/>
    <d v="2025-10-20T00:00:00"/>
    <s v="Gab_Hernandez"/>
    <n v="166815"/>
    <d v="2025-10-20T00:00:00"/>
    <d v="2025-10-20T00:00:00"/>
    <d v="2025-10-20T00:00:00"/>
    <d v="2025-10-20T00:00:00"/>
    <d v="2025-10-20T00:00:00"/>
    <d v="2025-10-20T00:00:00"/>
    <d v="2025-10-20T00:00:00"/>
    <m/>
    <m/>
    <m/>
    <m/>
    <m/>
    <m/>
    <s v="Pistachos "/>
    <n v="70"/>
    <n v="140"/>
  </r>
  <r>
    <n v="80035"/>
    <n v="1"/>
    <s v="1"/>
    <x v="75"/>
    <s v="PIST007   "/>
    <x v="7"/>
    <s v="Pistachos"/>
    <s v="Pistachos                                         "/>
    <n v="35"/>
    <n v="38"/>
    <n v="35"/>
    <n v="35"/>
    <n v="350"/>
    <x v="0"/>
    <s v="Pistachos_Garbi               "/>
    <s v="COA"/>
    <s v="FV A-00006-00002815"/>
    <s v="FV A-00006-00002815.pdf"/>
    <s v="RE R-00008-00003461"/>
    <s v="RE R-00008-00003461.pdf"/>
    <s v="SA"/>
    <n v="144852"/>
    <d v="2025-10-23T00:00:00"/>
    <s v="Gab_Hernandez"/>
    <n v="167784"/>
    <d v="2025-10-23T00:00:00"/>
    <d v="2025-10-23T00:00:00"/>
    <d v="2025-10-23T00:00:00"/>
    <d v="2025-10-23T00:00:00"/>
    <d v="2025-10-23T00:00:00"/>
    <d v="2025-10-23T00:00:00"/>
    <d v="2025-10-23T00:00:00"/>
    <m/>
    <m/>
    <m/>
    <m/>
    <m/>
    <m/>
    <s v="Pistachos "/>
    <n v="35"/>
    <n v="70"/>
  </r>
  <r>
    <n v="80115"/>
    <n v="1"/>
    <s v="1"/>
    <x v="76"/>
    <s v="PIST007   "/>
    <x v="7"/>
    <s v="Pistachos"/>
    <s v="Pistachos                                         "/>
    <n v="35"/>
    <n v="38"/>
    <n v="35"/>
    <n v="35"/>
    <n v="350"/>
    <x v="0"/>
    <s v="Pistachos_Garbi               "/>
    <s v="COA"/>
    <s v="FV A-00006-00002816"/>
    <s v="FV A-00006-00002816.pdf"/>
    <s v="RE R-00008-00003463"/>
    <s v="RE R-00008-00003463.pdf"/>
    <s v="SA"/>
    <n v="145558"/>
    <d v="2025-10-27T00:00:00"/>
    <s v="Gab_Hernandez"/>
    <n v="168200"/>
    <d v="2025-10-27T00:00:00"/>
    <d v="2025-10-27T00:00:00"/>
    <d v="2025-10-27T00:00:00"/>
    <d v="2025-10-27T00:00:00"/>
    <d v="2025-10-27T00:00:00"/>
    <d v="2025-10-27T00:00:00"/>
    <d v="2025-10-27T00:00:00"/>
    <m/>
    <m/>
    <m/>
    <m/>
    <m/>
    <m/>
    <s v="Pistachos "/>
    <n v="35"/>
    <n v="70"/>
  </r>
  <r>
    <n v="80380"/>
    <n v="1"/>
    <s v="1"/>
    <x v="16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819"/>
    <s v="FV A-00006-00002819.pdf"/>
    <s v="RE R-00008-00003465"/>
    <s v="RE R-00008-00003465.pdf"/>
    <s v="SA"/>
    <n v="146959"/>
    <d v="2025-11-04T00:00:00"/>
    <s v="Gab_Hernandez"/>
    <n v="169997"/>
    <d v="2025-11-04T00:00:00"/>
    <d v="2025-11-04T00:00:00"/>
    <d v="2025-11-04T00:00:00"/>
    <d v="2025-11-04T00:00:00"/>
    <d v="2025-11-04T00:00:00"/>
    <d v="2025-11-04T00:00:00"/>
    <d v="2025-11-04T00:00:00"/>
    <m/>
    <m/>
    <m/>
    <m/>
    <m/>
    <m/>
    <s v="Pistachos "/>
    <n v="70"/>
    <n v="140"/>
  </r>
  <r>
    <n v="80428"/>
    <n v="1"/>
    <s v="2"/>
    <x v="22"/>
    <s v="PIST005   "/>
    <x v="8"/>
    <s v="Pistachos"/>
    <s v="Pistachos                                         "/>
    <n v="210"/>
    <n v="31.76"/>
    <n v="210"/>
    <n v="210"/>
    <n v="2100"/>
    <x v="0"/>
    <s v="Pistachos_Garbi               "/>
    <s v="COA"/>
    <s v="FV A-00090-00000003"/>
    <s v="FV A-00090-00000003.pdf"/>
    <s v="RE R-00090-00000004"/>
    <s v="RE R-00090-00000004.pdf"/>
    <s v="SA"/>
    <n v="147380"/>
    <d v="2025-11-05T00:00:00"/>
    <s v="Gab_Hernandez"/>
    <n v="170249"/>
    <d v="2025-11-05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210"/>
    <n v="420"/>
  </r>
  <r>
    <n v="80410"/>
    <n v="1"/>
    <s v="1"/>
    <x v="77"/>
    <s v="PIST005   "/>
    <x v="8"/>
    <s v="Pistachos"/>
    <s v="Pistachos                                         "/>
    <n v="70"/>
    <n v="33"/>
    <n v="70"/>
    <n v="70"/>
    <n v="700"/>
    <x v="0"/>
    <s v="Pistachos_Garbi               "/>
    <s v="COA"/>
    <s v="FV E-00007-00000079"/>
    <s v="FV E-00007-00000079.pdf"/>
    <s v="RE E-00007-00000079"/>
    <s v="RE E-00007-00000079.pdf"/>
    <s v="SA"/>
    <n v="147293"/>
    <d v="2025-11-05T00:00:00"/>
    <s v="Gab_Hernandez"/>
    <n v="170184"/>
    <d v="2025-11-05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70"/>
    <n v="140"/>
  </r>
  <r>
    <n v="79757"/>
    <n v="1"/>
    <s v="1"/>
    <x v="22"/>
    <s v="PIST003   "/>
    <x v="6"/>
    <s v="Pistachos"/>
    <s v="Pistachos                                         "/>
    <n v="140"/>
    <n v="37"/>
    <n v="140"/>
    <n v="140"/>
    <n v="1400"/>
    <x v="0"/>
    <s v="Pistachos_Garbi               "/>
    <s v="COA"/>
    <s v="FV A-00006-00002822"/>
    <s v="FV A-00006-00002822.pdf"/>
    <s v="RE R-00008-00003469"/>
    <s v="RE R-00008-00003469.pdf"/>
    <s v="SA"/>
    <n v="147375"/>
    <d v="2025-11-05T00:00:00"/>
    <s v="Gab_Hernandez"/>
    <n v="166054"/>
    <d v="2025-10-17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140"/>
    <n v="280"/>
  </r>
  <r>
    <n v="78574"/>
    <n v="6"/>
    <s v="1"/>
    <x v="22"/>
    <s v="PIST005   "/>
    <x v="8"/>
    <s v="Pistachos"/>
    <s v="Pistachos                                         "/>
    <n v="70"/>
    <n v="34.78"/>
    <n v="70"/>
    <n v="70"/>
    <n v="700"/>
    <x v="0"/>
    <s v="Pistachos_Garbi               "/>
    <s v="COA"/>
    <s v="FV A-00006-00002822"/>
    <s v="FV A-00006-00002822(1).pdf"/>
    <s v="RE R-00008-00003469"/>
    <s v="RE R-00008-00003469.pdf"/>
    <s v="SA"/>
    <n v="147376"/>
    <d v="2025-11-05T00:00:00"/>
    <s v="Gab_Hernandez"/>
    <n v="164423"/>
    <d v="2025-10-03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70"/>
    <n v="140"/>
  </r>
  <r>
    <n v="78049"/>
    <n v="2"/>
    <s v="1"/>
    <x v="37"/>
    <s v="PIST005   "/>
    <x v="8"/>
    <s v="Pistachos"/>
    <s v="Pistachos                                         "/>
    <n v="140"/>
    <n v="33"/>
    <n v="140"/>
    <n v="140"/>
    <n v="1400"/>
    <x v="0"/>
    <s v="Pistachos_Garbi               "/>
    <s v="COA"/>
    <s v="FV A-00006-00002823"/>
    <s v="FV A-00006-00002823.pdf"/>
    <s v="RE R-00008-00003470"/>
    <s v="RE R-00008-00003470.pdf"/>
    <s v="SA"/>
    <n v="147396"/>
    <d v="2025-11-05T00:00:00"/>
    <s v="Gab_Hernandez"/>
    <n v="163437"/>
    <d v="2025-09-29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140"/>
    <n v="280"/>
  </r>
  <r>
    <n v="77734"/>
    <n v="9"/>
    <s v="1"/>
    <x v="37"/>
    <s v="PIST005   "/>
    <x v="8"/>
    <s v="Pistachos"/>
    <s v="Pistachos                                         "/>
    <n v="70"/>
    <n v="33"/>
    <n v="70"/>
    <n v="70"/>
    <n v="700"/>
    <x v="0"/>
    <s v="Pistachos_Garbi               "/>
    <s v="COA"/>
    <s v="FV A-00006-00002823"/>
    <s v="FV A-00006-00002823(1).pdf"/>
    <s v="RE R-00008-00003470"/>
    <s v="RE R-00008-00003470.pdf"/>
    <s v="SA"/>
    <n v="147397"/>
    <d v="2025-11-05T00:00:00"/>
    <s v="Gab_Hernandez"/>
    <n v="163439"/>
    <d v="2025-09-29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70"/>
    <n v="140"/>
  </r>
  <r>
    <n v="77734"/>
    <n v="8"/>
    <s v="1"/>
    <x v="37"/>
    <s v="PIST005   "/>
    <x v="8"/>
    <s v="Pistachos"/>
    <s v="Pistachos                                         "/>
    <n v="70"/>
    <n v="33"/>
    <n v="70"/>
    <n v="70"/>
    <n v="700"/>
    <x v="0"/>
    <s v="Pistachos_Garbi               "/>
    <s v="COA"/>
    <s v="FV A-00006-00002823"/>
    <s v="FV A-00006-00002823(2).pdf"/>
    <s v="RE R-00008-00003470"/>
    <s v="RE R-00008-00003470.pdf"/>
    <s v="SA"/>
    <n v="147398"/>
    <d v="2025-11-05T00:00:00"/>
    <s v="Gab_Hernandez"/>
    <n v="163438"/>
    <d v="2025-09-29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70"/>
    <n v="140"/>
  </r>
  <r>
    <n v="77734"/>
    <n v="7"/>
    <s v="1"/>
    <x v="37"/>
    <s v="PIST005   "/>
    <x v="8"/>
    <s v="Pistachos"/>
    <s v="Pistachos                                         "/>
    <n v="70"/>
    <n v="33"/>
    <n v="70"/>
    <n v="70"/>
    <n v="700"/>
    <x v="0"/>
    <s v="Pistachos_Garbi               "/>
    <s v="COA"/>
    <s v="FV A-00006-00002823"/>
    <s v="FV A-00006-00002823(3).pdf"/>
    <s v="RE R-00008-00003470"/>
    <s v="RE R-00008-00003470.pdf"/>
    <s v="SA"/>
    <n v="147399"/>
    <d v="2025-11-05T00:00:00"/>
    <s v="Gab_Hernandez"/>
    <n v="158991"/>
    <d v="2025-09-03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70"/>
    <n v="140"/>
  </r>
  <r>
    <n v="80468"/>
    <n v="1"/>
    <s v="2"/>
    <x v="34"/>
    <s v="PIST001   "/>
    <x v="5"/>
    <s v="Pistachos"/>
    <s v="Pistachos                                         "/>
    <n v="10"/>
    <n v="1"/>
    <n v="10"/>
    <n v="10"/>
    <n v="100"/>
    <x v="0"/>
    <s v="Pistachos_Garbi               "/>
    <s v="COA"/>
    <s v="FV B-00006-00000291"/>
    <s v="FV B-00006-00000291.pdf"/>
    <s v="RE R-00008-00003473"/>
    <s v="RE R-00008-00003473.pdf"/>
    <s v="SA"/>
    <n v="147528"/>
    <d v="2025-11-06T00:00:00"/>
    <s v="Gab_Hernandez"/>
    <n v="170420"/>
    <d v="2025-11-06T00:00:00"/>
    <d v="2025-11-06T00:00:00"/>
    <d v="2025-11-06T00:00:00"/>
    <d v="2025-11-06T00:00:00"/>
    <d v="2025-11-06T00:00:00"/>
    <d v="2025-11-06T00:00:00"/>
    <d v="2025-11-06T00:00:00"/>
    <m/>
    <m/>
    <m/>
    <m/>
    <m/>
    <m/>
    <s v="Pistachos "/>
    <n v="10"/>
    <n v="20"/>
  </r>
  <r>
    <n v="80593"/>
    <n v="1"/>
    <s v="1"/>
    <x v="22"/>
    <s v="PIST007   "/>
    <x v="7"/>
    <s v="Pistachos"/>
    <s v="Pistachos                                         "/>
    <n v="525"/>
    <n v="38"/>
    <n v="525"/>
    <n v="525"/>
    <n v="5250"/>
    <x v="0"/>
    <s v="Pistachos_Garbi               "/>
    <s v="COA"/>
    <s v="FV A-00006-00002826"/>
    <s v="FV A-00006-00002826.pdf"/>
    <s v="RE R-00008-00003476"/>
    <s v="RE R-00008-00003476.pdf"/>
    <s v="SA"/>
    <n v="148234"/>
    <d v="2025-11-11T00:00:00"/>
    <s v="Gab_Hernandez"/>
    <n v="171258"/>
    <d v="2025-11-11T00:00:00"/>
    <d v="2025-11-11T00:00:00"/>
    <d v="2025-11-11T00:00:00"/>
    <d v="2025-11-11T00:00:00"/>
    <d v="2025-11-11T00:00:00"/>
    <d v="2025-11-11T00:00:00"/>
    <d v="2025-11-11T00:00:00"/>
    <m/>
    <m/>
    <m/>
    <m/>
    <m/>
    <m/>
    <s v="Pistachos "/>
    <n v="525"/>
    <n v="1050"/>
  </r>
  <r>
    <n v="80689"/>
    <n v="1"/>
    <s v="1"/>
    <x v="22"/>
    <s v="PIST002   "/>
    <x v="2"/>
    <s v="Pistachos"/>
    <s v="Pistachos                                         "/>
    <n v="140"/>
    <n v="40"/>
    <n v="140"/>
    <n v="140"/>
    <n v="1400"/>
    <x v="0"/>
    <s v="Pistachos_Garbi               "/>
    <s v="COA"/>
    <s v="FV A-00006-00002827"/>
    <s v="FV A-00006-00002827.pdf"/>
    <s v="RE R-00008-00003480"/>
    <s v="RE R-00008-00003480.pdf"/>
    <s v="SA"/>
    <n v="148615"/>
    <d v="2025-11-13T00:00:00"/>
    <s v="Gab_Hernandez"/>
    <n v="171877"/>
    <d v="2025-11-13T00:00:00"/>
    <d v="2025-11-13T00:00:00"/>
    <d v="2025-11-13T00:00:00"/>
    <d v="2025-11-13T00:00:00"/>
    <d v="2025-11-13T00:00:00"/>
    <d v="2025-11-13T00:00:00"/>
    <d v="2025-11-13T00:00:00"/>
    <m/>
    <m/>
    <m/>
    <m/>
    <m/>
    <m/>
    <s v="Pistachos "/>
    <n v="140"/>
    <n v="280"/>
  </r>
  <r>
    <n v="80788"/>
    <n v="1"/>
    <s v="1"/>
    <x v="22"/>
    <s v="PIST002   "/>
    <x v="2"/>
    <s v="Pistachos"/>
    <s v="Pistachos                                         "/>
    <n v="140"/>
    <n v="40"/>
    <n v="140"/>
    <n v="140"/>
    <n v="1400"/>
    <x v="0"/>
    <s v="Pistachos_Garbi               "/>
    <s v="COA"/>
    <s v="FV A-00006-00002828"/>
    <s v="FV A-00006-00002828(1).pdf"/>
    <s v="RE R-00008-00003481"/>
    <s v="RE R-00008-00003481.pdf"/>
    <s v="SA"/>
    <n v="149066"/>
    <d v="2025-11-17T00:00:00"/>
    <s v="Gab_Hernandez"/>
    <n v="172464"/>
    <d v="2025-11-17T00:00:00"/>
    <d v="2025-11-17T00:00:00"/>
    <d v="2025-11-17T00:00:00"/>
    <d v="2025-11-17T00:00:00"/>
    <d v="2025-11-17T00:00:00"/>
    <d v="2025-11-17T00:00:00"/>
    <d v="2025-11-17T00:00:00"/>
    <m/>
    <m/>
    <m/>
    <m/>
    <m/>
    <m/>
    <s v="Pistachos "/>
    <n v="140"/>
    <n v="280"/>
  </r>
  <r>
    <n v="81168"/>
    <n v="1"/>
    <s v="1"/>
    <x v="37"/>
    <s v="PIST005   "/>
    <x v="8"/>
    <s v="Pistachos"/>
    <s v="Pistachos                                         "/>
    <n v="490"/>
    <n v="33"/>
    <n v="490"/>
    <n v="490"/>
    <n v="4900"/>
    <x v="0"/>
    <s v="Pistachos_Garbi               "/>
    <s v="COA"/>
    <s v="FV A-00006-00002829"/>
    <s v="FV A-00006-00002829.pdf"/>
    <s v="RE R-00008-00003484"/>
    <s v="RE R-00008-00003484.pdf"/>
    <s v="SA"/>
    <n v="151067"/>
    <d v="2025-12-01T00:00:00"/>
    <s v="Gab_Hernandez"/>
    <n v="174567"/>
    <d v="2025-12-01T00:00:00"/>
    <d v="2025-12-01T00:00:00"/>
    <d v="2025-12-01T00:00:00"/>
    <d v="2025-12-01T00:00:00"/>
    <d v="2025-12-01T00:00:00"/>
    <d v="2025-12-01T00:00:00"/>
    <d v="2025-12-01T00:00:00"/>
    <m/>
    <m/>
    <m/>
    <m/>
    <m/>
    <m/>
    <s v="Pistachos "/>
    <n v="490"/>
    <n v="980"/>
  </r>
  <r>
    <n v="81213"/>
    <n v="2"/>
    <s v="1"/>
    <x v="22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831"/>
    <s v="FV A-00006-00002831.pdf"/>
    <s v="RE R-00008-00003486"/>
    <s v="RE R-00008-00003486.pdf"/>
    <s v="SA"/>
    <n v="151246"/>
    <d v="2025-12-02T00:00:00"/>
    <s v="Gab_Hernandez"/>
    <n v="174855"/>
    <d v="2025-12-02T00:00:00"/>
    <d v="2025-12-02T00:00:00"/>
    <d v="2025-12-02T00:00:00"/>
    <d v="2025-12-02T00:00:00"/>
    <d v="2025-12-02T00:00:00"/>
    <d v="2025-12-02T00:00:00"/>
    <d v="2025-12-02T00:00:00"/>
    <m/>
    <m/>
    <m/>
    <m/>
    <m/>
    <m/>
    <s v="Pistachos "/>
    <n v="70"/>
    <n v="140"/>
  </r>
  <r>
    <n v="81213"/>
    <n v="1"/>
    <s v="1"/>
    <x v="22"/>
    <s v="PIST005   "/>
    <x v="8"/>
    <s v="Pistachos"/>
    <s v="Pistachos                                         "/>
    <n v="210"/>
    <n v="35"/>
    <n v="210"/>
    <n v="210"/>
    <n v="2100"/>
    <x v="0"/>
    <s v="Pistachos_Garbi               "/>
    <s v="COA"/>
    <s v="FV A-00006-00002831"/>
    <s v="FV A-00006-00002831(1).pdf"/>
    <s v="RE R-00008-00003486"/>
    <s v="RE R-00008-00003486.pdf"/>
    <s v="SA"/>
    <n v="151247"/>
    <d v="2025-12-02T00:00:00"/>
    <s v="Gab_Hernandez"/>
    <n v="174854"/>
    <d v="2025-12-02T00:00:00"/>
    <d v="2025-12-02T00:00:00"/>
    <d v="2025-12-02T00:00:00"/>
    <d v="2025-12-02T00:00:00"/>
    <d v="2025-12-02T00:00:00"/>
    <d v="2025-12-02T00:00:00"/>
    <d v="2025-12-02T00:00:00"/>
    <m/>
    <m/>
    <m/>
    <m/>
    <m/>
    <m/>
    <s v="Pistachos "/>
    <n v="210"/>
    <n v="420"/>
  </r>
  <r>
    <n v="81190"/>
    <n v="1"/>
    <s v="1"/>
    <x v="73"/>
    <s v="PIST002   "/>
    <x v="2"/>
    <s v="Pistachos"/>
    <s v="Pistachos                                         "/>
    <n v="70"/>
    <n v="40"/>
    <n v="70"/>
    <n v="70"/>
    <n v="700"/>
    <x v="0"/>
    <s v="Pistachos_Garbi               "/>
    <s v="COA"/>
    <s v="FV A-00006-00002830"/>
    <s v="FV A-00006-00002830.pdf"/>
    <s v="RE R-00008-00003485"/>
    <s v="RE R-00008-00003485.pdf"/>
    <s v="SA"/>
    <n v="151248"/>
    <d v="2025-12-02T00:00:00"/>
    <s v="Gab_Hernandez"/>
    <n v="174740"/>
    <d v="2025-12-02T00:00:00"/>
    <d v="2025-12-02T00:00:00"/>
    <d v="2025-12-02T00:00:00"/>
    <d v="2025-12-02T00:00:00"/>
    <d v="2025-12-02T00:00:00"/>
    <d v="2025-12-02T00:00:00"/>
    <d v="2025-12-02T00:00:00"/>
    <m/>
    <m/>
    <m/>
    <m/>
    <m/>
    <m/>
    <s v="Pistachos "/>
    <n v="70"/>
    <n v="140"/>
  </r>
  <r>
    <n v="81321"/>
    <n v="1"/>
    <s v="2"/>
    <x v="32"/>
    <s v="PIST001   "/>
    <x v="5"/>
    <s v="Pistachos"/>
    <s v="Pistachos                                         "/>
    <n v="70"/>
    <n v="17.690000000000001"/>
    <n v="70"/>
    <n v="70"/>
    <n v="700"/>
    <x v="0"/>
    <s v="Pistachos_Garbi               "/>
    <s v="COA"/>
    <s v="FV A-00090-00000005"/>
    <s v="FV A-00090-00000005.pdf"/>
    <s v="RE R-00090-00000010"/>
    <s v="RE R-00090-00000010.pdf"/>
    <s v="SA"/>
    <n v="151753"/>
    <d v="2025-12-09T00:00:00"/>
    <s v="Gab_Hernandez"/>
    <n v="175446"/>
    <d v="2025-12-09T00:00:00"/>
    <d v="2025-12-09T00:00:00"/>
    <d v="2025-12-09T00:00:00"/>
    <d v="2025-12-09T00:00:00"/>
    <d v="2025-12-09T00:00:00"/>
    <d v="2025-12-09T00:00:00"/>
    <d v="2025-12-09T00:00:00"/>
    <m/>
    <m/>
    <m/>
    <m/>
    <m/>
    <m/>
    <s v="Pistachos "/>
    <n v="70"/>
    <n v="140"/>
  </r>
  <r>
    <n v="81472"/>
    <n v="1"/>
    <s v="2"/>
    <x v="78"/>
    <s v="PIST001   "/>
    <x v="5"/>
    <s v="Pistachos"/>
    <s v="Pistachos                                         "/>
    <n v="70"/>
    <n v="16.72"/>
    <n v="70"/>
    <n v="70"/>
    <n v="700"/>
    <x v="0"/>
    <s v="Pistachos_Garbi               "/>
    <s v="COA"/>
    <s v="FV B-00090-00000008"/>
    <s v="FV B-00090-00000008.pdf"/>
    <s v="RE R-00090-00000012"/>
    <s v="RE R-00090-00000012.pdf"/>
    <s v="SA"/>
    <n v="152760"/>
    <d v="2025-12-15T00:00:00"/>
    <s v="Gab_Hernandez"/>
    <n v="176489"/>
    <d v="2025-12-15T00:00:00"/>
    <d v="2025-12-15T00:00:00"/>
    <d v="2025-12-15T00:00:00"/>
    <d v="2025-12-15T00:00:00"/>
    <d v="2025-12-15T00:00:00"/>
    <d v="2025-12-15T00:00:00"/>
    <d v="2025-12-15T00:00:00"/>
    <m/>
    <m/>
    <m/>
    <m/>
    <m/>
    <m/>
    <s v="Pistachos "/>
    <n v="70"/>
    <n v="140"/>
  </r>
  <r>
    <n v="82118"/>
    <n v="1"/>
    <s v="2"/>
    <x v="22"/>
    <s v="PIST005   "/>
    <x v="8"/>
    <s v="Pistachos"/>
    <s v="Pistachos                                         "/>
    <n v="457"/>
    <n v="31"/>
    <n v="457"/>
    <n v="457"/>
    <n v="4570"/>
    <x v="0"/>
    <s v="Pistachos_Garbi               "/>
    <s v="COA"/>
    <s v="FV A-00090-00000008"/>
    <s v="FV A-00090-00000008.pdf"/>
    <s v="RE R-00090-00000014"/>
    <s v="RE R-00090-00000014.pdf"/>
    <s v="SA"/>
    <n v="156027"/>
    <d v="2026-01-14T00:00:00"/>
    <s v="Gab_Hernandez"/>
    <n v="180341"/>
    <d v="2026-01-14T00:00:00"/>
    <d v="2026-01-14T00:00:00"/>
    <d v="2026-01-14T00:00:00"/>
    <d v="2026-01-14T00:00:00"/>
    <d v="2026-01-14T00:00:00"/>
    <d v="2026-01-14T00:00:00"/>
    <d v="2026-01-14T00:00:00"/>
    <m/>
    <m/>
    <m/>
    <m/>
    <m/>
    <m/>
    <s v="Pistachos "/>
    <n v="457"/>
    <n v="914"/>
  </r>
  <r>
    <n v="82375"/>
    <n v="1"/>
    <s v="2"/>
    <x v="79"/>
    <s v="PIST001   "/>
    <x v="5"/>
    <s v="Pistachos"/>
    <s v="Pistachos                                         "/>
    <n v="6"/>
    <n v="20.8"/>
    <n v="6"/>
    <n v="6"/>
    <n v="360"/>
    <x v="1"/>
    <s v="Pistachos_Garbi               "/>
    <s v="8001"/>
    <s v="FV A-00090-00000009"/>
    <s v="FV A-00090-00000009.pdf"/>
    <s v="RE R-00008-00003499"/>
    <s v="RE R-00008-00003499.pdf"/>
    <s v="SA"/>
    <n v="157108"/>
    <d v="2026-01-22T00:00:00"/>
    <s v="Gab_Hernandez"/>
    <n v="181590"/>
    <d v="2026-01-22T00:00:00"/>
    <d v="2026-01-22T00:00:00"/>
    <d v="2026-01-22T00:00:00"/>
    <d v="2026-01-22T00:00:00"/>
    <d v="2026-01-22T00:00:00"/>
    <d v="2026-01-22T00:00:00"/>
    <d v="2026-01-22T00:00:00"/>
    <d v="2026-01-22T00:00:00"/>
    <m/>
    <m/>
    <m/>
    <m/>
    <m/>
    <s v="Pistachos "/>
    <n v="6"/>
    <n v="12"/>
  </r>
  <r>
    <n v="82616"/>
    <n v="1"/>
    <s v="2"/>
    <x v="55"/>
    <s v="PIST001   "/>
    <x v="5"/>
    <s v="Pistachos"/>
    <s v="Pistachos                                         "/>
    <n v="50"/>
    <n v="15.7"/>
    <n v="50"/>
    <n v="50"/>
    <n v="500"/>
    <x v="0"/>
    <s v="Pistachos_Garbi               "/>
    <s v="COA"/>
    <s v="FV A-00090-00000010"/>
    <s v="FV A-00090-00000010.pdf"/>
    <s v="RE R-00090-00000015"/>
    <s v="RE R-00090-00000015.pdf"/>
    <s v="SA"/>
    <n v="158302"/>
    <d v="2026-02-02T00:00:00"/>
    <s v="Gab_Hernandez"/>
    <n v="183093"/>
    <d v="2026-02-02T00:00:00"/>
    <d v="2026-02-02T00:00:00"/>
    <d v="2026-02-02T00:00:00"/>
    <d v="2026-02-02T00:00:00"/>
    <d v="2026-02-02T00:00:00"/>
    <d v="2026-02-02T00:00:00"/>
    <d v="2026-02-02T00:00:00"/>
    <m/>
    <m/>
    <m/>
    <m/>
    <m/>
    <m/>
    <s v="Pistachos "/>
    <n v="50"/>
    <n v="100"/>
  </r>
  <r>
    <n v="82747"/>
    <n v="1"/>
    <s v="1"/>
    <x v="34"/>
    <s v="PIST001   "/>
    <x v="5"/>
    <s v="Pistachos"/>
    <s v="Pistachos                                         "/>
    <n v="10"/>
    <n v="1"/>
    <n v="10"/>
    <n v="10"/>
    <n v="100"/>
    <x v="0"/>
    <s v="Pistachos_Garbi               "/>
    <s v="COA"/>
    <s v="FV B-00006-00000294"/>
    <s v="FV B-00006-00000294.pdf"/>
    <s v="RE R-00008-00003501"/>
    <s v="RE R-00008-00003501.pdf"/>
    <s v="SA"/>
    <n v="159016"/>
    <d v="2026-02-05T00:00:00"/>
    <s v="Gab_Hernandez"/>
    <n v="183878"/>
    <d v="2026-02-05T00:00:00"/>
    <d v="2026-02-05T00:00:00"/>
    <d v="2026-02-05T00:00:00"/>
    <d v="2026-02-05T00:00:00"/>
    <d v="2026-02-05T00:00:00"/>
    <d v="2026-02-05T00:00:00"/>
    <d v="2026-02-05T00:00:00"/>
    <m/>
    <m/>
    <m/>
    <m/>
    <m/>
    <m/>
    <s v="Pistachos "/>
    <n v="10"/>
    <n v="20"/>
  </r>
  <r>
    <n v="82780"/>
    <n v="1"/>
    <s v="2"/>
    <x v="27"/>
    <s v="PIST001   "/>
    <x v="5"/>
    <s v="Pistachos"/>
    <s v="Pistachos                                         "/>
    <n v="70"/>
    <n v="14.48"/>
    <n v="70"/>
    <n v="70"/>
    <n v="700"/>
    <x v="0"/>
    <s v="Pistachos_Garbi               "/>
    <s v="COA"/>
    <s v="FV F-00090-00000011"/>
    <s v="FV F-00090-00000011.pdf"/>
    <s v="RE R-00090-00000017"/>
    <s v="RE R-00090-00000017.pdf"/>
    <s v="SA"/>
    <n v="159080"/>
    <d v="2026-02-06T00:00:00"/>
    <s v="Gab_Hernandez"/>
    <n v="184036"/>
    <d v="2026-02-06T00:00:00"/>
    <d v="2026-02-06T00:00:00"/>
    <d v="2026-02-06T00:00:00"/>
    <d v="2026-02-06T00:00:00"/>
    <d v="2026-02-06T00:00:00"/>
    <d v="2026-02-06T00:00:00"/>
    <d v="2026-02-06T00:00:00"/>
    <m/>
    <m/>
    <m/>
    <m/>
    <m/>
    <m/>
    <s v="Pistachos "/>
    <n v="70"/>
    <n v="140"/>
  </r>
  <r>
    <n v="83079"/>
    <n v="1"/>
    <s v="2"/>
    <x v="27"/>
    <s v="PIST001   "/>
    <x v="5"/>
    <s v="Pistachos"/>
    <s v="Pistachos                                         "/>
    <n v="70"/>
    <n v="14.89"/>
    <n v="70"/>
    <n v="70"/>
    <n v="700"/>
    <x v="0"/>
    <s v="Pistachos_Garbi               "/>
    <s v="COA"/>
    <s v="FV A-00090-00000012"/>
    <s v="FV A-00090-00000012.pdf"/>
    <s v="RE R-00090-00000021"/>
    <s v="RE R-00090-00000021.pdf"/>
    <s v="SA"/>
    <n v="160496"/>
    <d v="2026-02-20T00:00:00"/>
    <s v="Gab_Hernandez"/>
    <n v="185640"/>
    <d v="2026-02-20T00:00:00"/>
    <d v="2026-02-20T00:00:00"/>
    <d v="2026-02-20T00:00:00"/>
    <d v="2026-02-20T00:00:00"/>
    <d v="2026-02-20T00:00:00"/>
    <d v="2026-02-20T00:00:00"/>
    <d v="2026-02-20T00:00:00"/>
    <m/>
    <m/>
    <m/>
    <m/>
    <m/>
    <m/>
    <s v="Pistachos "/>
    <n v="70"/>
    <n v="140"/>
  </r>
  <r>
    <n v="83071"/>
    <n v="1"/>
    <s v="2"/>
    <x v="9"/>
    <s v="PIST001   "/>
    <x v="5"/>
    <s v="Pistachos"/>
    <s v="Pistachos                                         "/>
    <n v="70"/>
    <n v="16.190000000000001"/>
    <n v="70"/>
    <n v="70"/>
    <n v="700"/>
    <x v="0"/>
    <s v="Pistachos_Garbi               "/>
    <s v="COA"/>
    <s v="FV B-00090-00000012"/>
    <s v="FV B-00090-00000012.pdf"/>
    <s v="RE R-00090-00000019"/>
    <s v="RE R-00090-00000019.pdf"/>
    <s v="SA"/>
    <n v="160487"/>
    <d v="2026-02-20T00:00:00"/>
    <s v="Gab_Hernandez"/>
    <n v="185601"/>
    <d v="2026-02-20T00:00:00"/>
    <d v="2026-02-20T00:00:00"/>
    <d v="2026-02-20T00:00:00"/>
    <d v="2026-02-20T00:00:00"/>
    <d v="2026-02-20T00:00:00"/>
    <d v="2026-02-20T00:00:00"/>
    <d v="2026-02-20T00:00:00"/>
    <m/>
    <m/>
    <m/>
    <m/>
    <m/>
    <m/>
    <s v="Pistachos "/>
    <n v="70"/>
    <n v="140"/>
  </r>
  <r>
    <n v="83230"/>
    <n v="1"/>
    <s v="2"/>
    <x v="23"/>
    <s v="PIST001   "/>
    <x v="5"/>
    <s v="Pistachos"/>
    <s v="Pistachos                                         "/>
    <n v="70"/>
    <n v="16.54"/>
    <n v="70"/>
    <n v="70"/>
    <n v="700"/>
    <x v="0"/>
    <s v="Pistachos_Garbi               "/>
    <s v="COA"/>
    <s v="FV A-00090-00000013"/>
    <s v="FV A-00090-00000013.pdf"/>
    <s v="RE R-00090-00000022"/>
    <s v="RE R-00090-00000022.pdf"/>
    <s v="SA"/>
    <n v="161112"/>
    <d v="2026-02-25T00:00:00"/>
    <s v="Gab_Hernandez"/>
    <n v="186488"/>
    <d v="2026-02-25T00:00:00"/>
    <d v="2026-02-25T00:00:00"/>
    <d v="2026-02-25T00:00:00"/>
    <d v="2026-02-25T00:00:00"/>
    <d v="2026-02-25T00:00:00"/>
    <d v="2026-02-25T00:00:00"/>
    <d v="2026-02-25T00:00:00"/>
    <m/>
    <m/>
    <m/>
    <m/>
    <m/>
    <m/>
    <s v="Pistachos "/>
    <n v="70"/>
    <n v="140"/>
  </r>
  <r>
    <n v="83342"/>
    <n v="1"/>
    <s v="2"/>
    <x v="61"/>
    <s v="PIST001   "/>
    <x v="5"/>
    <s v="Pistachos"/>
    <s v="Pistachos                                         "/>
    <n v="70"/>
    <n v="16.37"/>
    <n v="70"/>
    <n v="70"/>
    <n v="700"/>
    <x v="0"/>
    <s v="Pistachos_Garbi               "/>
    <s v="8001"/>
    <s v="FV B-00090-00000017"/>
    <s v="FV B-00090-00000017.pdf"/>
    <s v="RE R-00090-00000026"/>
    <s v="RE R-00090-00000026.pdf"/>
    <s v="SA"/>
    <n v="161665"/>
    <d v="2026-02-27T00:00:00"/>
    <s v="Gab_Hernandez"/>
    <n v="187020"/>
    <d v="2026-02-27T00:00:00"/>
    <d v="2026-02-27T00:00:00"/>
    <d v="2026-02-27T00:00:00"/>
    <d v="2026-02-27T00:00:00"/>
    <d v="2026-02-27T00:00:00"/>
    <d v="2026-02-27T00:00:00"/>
    <d v="2026-02-27T00:00:00"/>
    <m/>
    <m/>
    <m/>
    <m/>
    <m/>
    <m/>
    <s v="Pistachos "/>
    <n v="70"/>
    <n v="140"/>
  </r>
  <r>
    <n v="83629"/>
    <n v="1"/>
    <s v="2"/>
    <x v="57"/>
    <s v="PIST001   "/>
    <x v="5"/>
    <s v="Pistachos"/>
    <s v="Pistachos                                         "/>
    <n v="70"/>
    <n v="16.027000000000001"/>
    <n v="70"/>
    <n v="70"/>
    <n v="700"/>
    <x v="0"/>
    <s v="Pistachos_Garbi               "/>
    <s v="8001"/>
    <s v="FV B-00090-00000018"/>
    <s v="FV B-00090-00000018.pdf"/>
    <s v="RE R-00090-00000028"/>
    <s v="RE R-00090-00000028.pdf"/>
    <s v="SA"/>
    <n v="163051"/>
    <d v="2026-03-09T00:00:00"/>
    <s v="Gab_Hernandez"/>
    <n v="188687"/>
    <d v="2026-03-09T00:00:00"/>
    <d v="2026-03-09T00:00:00"/>
    <d v="2026-03-09T00:00:00"/>
    <d v="2026-03-09T00:00:00"/>
    <d v="2026-03-09T00:00:00"/>
    <d v="2026-03-09T00:00:00"/>
    <d v="2026-03-09T00:00:00"/>
    <m/>
    <m/>
    <m/>
    <m/>
    <m/>
    <m/>
    <s v="Pistachos "/>
    <n v="70"/>
    <n v="140"/>
  </r>
  <r>
    <n v="83628"/>
    <n v="1"/>
    <s v="2"/>
    <x v="1"/>
    <s v="PIST001   "/>
    <x v="5"/>
    <s v="Pistachos"/>
    <s v="Pistachos                                         "/>
    <n v="35"/>
    <n v="16.027000000000001"/>
    <n v="35"/>
    <n v="35"/>
    <n v="350"/>
    <x v="0"/>
    <s v="Pistachos_Garbi               "/>
    <s v="8001"/>
    <s v="FV A-00090-00000014"/>
    <s v="FV A-00090-00000014.pdf"/>
    <s v="RE R-00090-00000027"/>
    <s v="RE R-00090-00000027.pdf"/>
    <s v="SA"/>
    <n v="163052"/>
    <d v="2026-03-09T00:00:00"/>
    <s v="Gab_Hernandez"/>
    <n v="188686"/>
    <d v="2026-03-09T00:00:00"/>
    <d v="2026-03-09T00:00:00"/>
    <d v="2026-03-09T00:00:00"/>
    <d v="2026-03-09T00:00:00"/>
    <d v="2026-03-09T00:00:00"/>
    <d v="2026-03-09T00:00:00"/>
    <d v="2026-03-09T00:00:00"/>
    <m/>
    <m/>
    <m/>
    <m/>
    <m/>
    <m/>
    <s v="Pistachos "/>
    <n v="35"/>
    <n v="70"/>
  </r>
  <r>
    <n v="83627"/>
    <n v="1"/>
    <s v="1"/>
    <x v="1"/>
    <s v="PIST001   "/>
    <x v="5"/>
    <s v="Pistachos"/>
    <s v="Pistachos                                         "/>
    <n v="35"/>
    <n v="19.39"/>
    <n v="35"/>
    <n v="35"/>
    <n v="350"/>
    <x v="0"/>
    <s v="Pistachos_Garbi               "/>
    <s v="COA"/>
    <s v="FV A-00006-00002838"/>
    <s v="FV A-00006-00002838.pdf"/>
    <s v="RE R-00008-00003519"/>
    <s v="RE R-00008-00003519.pdf"/>
    <s v="SA"/>
    <n v="163053"/>
    <d v="2026-03-09T00:00:00"/>
    <s v="Gab_Hernandez"/>
    <n v="188685"/>
    <d v="2026-03-09T00:00:00"/>
    <d v="2026-03-09T00:00:00"/>
    <d v="2026-03-09T00:00:00"/>
    <d v="2026-03-09T00:00:00"/>
    <d v="2026-03-09T00:00:00"/>
    <d v="2026-03-09T00:00:00"/>
    <d v="2026-03-09T00:00:00"/>
    <m/>
    <m/>
    <m/>
    <m/>
    <m/>
    <m/>
    <s v="Pistachos "/>
    <n v="35"/>
    <n v="70"/>
  </r>
  <r>
    <n v="84120"/>
    <n v="1"/>
    <s v="1"/>
    <x v="32"/>
    <s v="PIST002   "/>
    <x v="2"/>
    <s v="Pistachos"/>
    <s v="Pistachos                                         "/>
    <n v="70"/>
    <n v="38"/>
    <n v="70"/>
    <n v="70"/>
    <n v="700"/>
    <x v="0"/>
    <s v="Pistachos_Garbi               "/>
    <s v="COA"/>
    <s v="FV A-00006-00002843"/>
    <s v="FV A-00006-00002843.pdf"/>
    <s v="RE R-00008-00003532"/>
    <s v="RE R-00008-00003532.pdf"/>
    <s v="SA"/>
    <n v="165072"/>
    <d v="2026-03-20T00:00:00"/>
    <s v="Gab_Hernandez"/>
    <n v="190973"/>
    <d v="2026-03-20T00:00:00"/>
    <d v="2026-03-20T00:00:00"/>
    <d v="2026-03-20T00:00:00"/>
    <d v="2026-03-20T00:00:00"/>
    <d v="2026-03-20T00:00:00"/>
    <d v="2026-03-20T00:00:00"/>
    <d v="2026-03-20T00:00:00"/>
    <m/>
    <m/>
    <m/>
    <m/>
    <m/>
    <m/>
    <s v="Pistachos "/>
    <n v="70"/>
    <n v="140"/>
  </r>
  <r>
    <n v="82800"/>
    <n v="1"/>
    <s v="1"/>
    <x v="22"/>
    <s v="PIST002   "/>
    <x v="2"/>
    <s v="Pistachos"/>
    <s v="Pistachos                                         "/>
    <n v="490"/>
    <n v="37"/>
    <n v="490"/>
    <n v="490"/>
    <n v="4900"/>
    <x v="0"/>
    <s v="Pistachos_Garbi               "/>
    <s v="COA"/>
    <s v="FV A-00006-00002841"/>
    <s v="FV A-00006-00002841.pdf"/>
    <s v="RE R-00008-00003530"/>
    <s v="RE R-00008-00003530.pdf"/>
    <s v="SA"/>
    <n v="165036"/>
    <d v="2026-03-20T00:00:00"/>
    <s v="Gab_Hernandez"/>
    <n v="184093"/>
    <d v="2026-02-09T00:00:00"/>
    <d v="2026-02-09T00:00:00"/>
    <d v="2026-03-20T00:00:00"/>
    <d v="2026-03-20T00:00:00"/>
    <d v="2026-03-20T00:00:00"/>
    <d v="2026-03-20T00:00:00"/>
    <d v="2026-03-20T00:00:00"/>
    <m/>
    <m/>
    <m/>
    <m/>
    <m/>
    <m/>
    <s v="Pistachos "/>
    <n v="490"/>
    <n v="980"/>
  </r>
  <r>
    <n v="82767"/>
    <n v="1"/>
    <s v="1"/>
    <x v="37"/>
    <s v="PIST002   "/>
    <x v="2"/>
    <s v="Pistachos"/>
    <s v="Pistachos                                         "/>
    <n v="490"/>
    <n v="36.950000000000003"/>
    <n v="490"/>
    <n v="490"/>
    <n v="4900"/>
    <x v="0"/>
    <s v="Pistachos_Garbi               "/>
    <s v="COA"/>
    <s v="FV A-00006-00002840"/>
    <s v="FV A-00006-00002840.pdf"/>
    <s v="RE R-00008-00003529"/>
    <s v="RE R-00008-00003529.pdf"/>
    <s v="SA"/>
    <n v="165056"/>
    <d v="2026-03-20T00:00:00"/>
    <s v="Gab_Hernandez"/>
    <n v="183973"/>
    <d v="2026-02-06T00:00:00"/>
    <d v="2026-02-20T00:00:00"/>
    <d v="2026-03-20T00:00:00"/>
    <d v="2026-03-20T00:00:00"/>
    <d v="2026-03-20T00:00:00"/>
    <d v="2026-03-20T00:00:00"/>
    <d v="2026-03-20T00:00:00"/>
    <m/>
    <m/>
    <m/>
    <m/>
    <m/>
    <m/>
    <s v="Pistachos "/>
    <n v="490"/>
    <n v="980"/>
  </r>
  <r>
    <n v="84526"/>
    <n v="1"/>
    <s v="2"/>
    <x v="34"/>
    <s v="PIST001   "/>
    <x v="5"/>
    <s v="Pistachos"/>
    <s v="Pistachos                                         "/>
    <n v="30"/>
    <n v="1"/>
    <n v="30"/>
    <n v="30"/>
    <n v="300"/>
    <x v="0"/>
    <s v="Pistachos_Garbi               "/>
    <s v="8001"/>
    <s v="FV B-00006-00000294"/>
    <s v="FV B-00006-00000294(5).pdf"/>
    <s v="RE R-00008-00003501"/>
    <s v="RE R-00008-00003501.pdf"/>
    <s v="SA"/>
    <n v="166646"/>
    <d v="2026-04-01T00:00:00"/>
    <s v="Gab_Hernandez"/>
    <n v="193061"/>
    <d v="2026-04-01T00:00:00"/>
    <d v="2026-04-01T00:00:00"/>
    <d v="2026-04-01T00:00:00"/>
    <d v="2026-04-01T00:00:00"/>
    <d v="2026-04-01T00:00:00"/>
    <d v="2026-04-01T00:00:00"/>
    <d v="2026-04-01T00:00:00"/>
    <m/>
    <m/>
    <m/>
    <m/>
    <m/>
    <m/>
    <s v="Pistachos "/>
    <n v="30"/>
    <n v="60"/>
  </r>
  <r>
    <n v="84526"/>
    <n v="4"/>
    <s v="2"/>
    <x v="34"/>
    <s v="PIST002   "/>
    <x v="2"/>
    <s v="Pistachos"/>
    <s v="Pistachos                                         "/>
    <n v="5"/>
    <n v="1"/>
    <n v="5"/>
    <n v="5"/>
    <n v="50"/>
    <x v="0"/>
    <s v="Pistachos_Garbi               "/>
    <s v="8001"/>
    <s v="FV B-00006-00000294"/>
    <s v="FV B-00006-00000294(2).pdf"/>
    <s v="RE R-00008-00003501"/>
    <s v="RE R-00008-00003501.pdf"/>
    <s v="SA"/>
    <n v="166639"/>
    <d v="2026-04-01T00:00:00"/>
    <s v="Gab_Hernandez"/>
    <n v="193064"/>
    <d v="2026-04-01T00:00:00"/>
    <d v="2026-04-01T00:00:00"/>
    <d v="2026-04-01T00:00:00"/>
    <d v="2026-04-01T00:00:00"/>
    <d v="2026-04-01T00:00:00"/>
    <d v="2026-04-01T00:00:00"/>
    <d v="2026-04-01T00:00:00"/>
    <m/>
    <m/>
    <m/>
    <m/>
    <m/>
    <m/>
    <s v="Pistachos "/>
    <n v="5"/>
    <n v="10"/>
  </r>
  <r>
    <n v="84526"/>
    <n v="5"/>
    <s v="2"/>
    <x v="34"/>
    <s v="PIST005   "/>
    <x v="8"/>
    <s v="Pistachos"/>
    <s v="Pistachos                                         "/>
    <n v="10"/>
    <n v="1"/>
    <n v="10"/>
    <n v="10"/>
    <n v="100"/>
    <x v="0"/>
    <s v="Pistachos_Garbi               "/>
    <s v="8001"/>
    <s v="FV B-00006-00000294"/>
    <s v="FV B-00006-00000294(1).pdf"/>
    <s v="RE R-00008-00003501"/>
    <s v="RE R-00008-00003501.pdf"/>
    <s v="SA"/>
    <n v="166637"/>
    <d v="2026-04-01T00:00:00"/>
    <s v="Gab_Hernandez"/>
    <n v="193065"/>
    <d v="2026-04-01T00:00:00"/>
    <d v="2026-04-01T00:00:00"/>
    <d v="2026-04-01T00:00:00"/>
    <d v="2026-04-01T00:00:00"/>
    <d v="2026-04-01T00:00:00"/>
    <d v="2026-04-01T00:00:00"/>
    <d v="2026-04-01T00:00:00"/>
    <m/>
    <m/>
    <m/>
    <m/>
    <m/>
    <m/>
    <s v="Pistachos "/>
    <n v="10"/>
    <n v="20"/>
  </r>
  <r>
    <n v="84526"/>
    <n v="3"/>
    <s v="2"/>
    <x v="34"/>
    <s v="PIST008   "/>
    <x v="9"/>
    <s v="Pistachos"/>
    <s v="Pistachos                                         "/>
    <n v="9"/>
    <n v="1"/>
    <n v="9"/>
    <n v="9"/>
    <n v="90"/>
    <x v="0"/>
    <s v="Pistachos_Garbi               "/>
    <s v="8001"/>
    <s v="FV B-00006-00000294"/>
    <s v="FV B-00006-00000294(3).pdf"/>
    <s v="RE R-00008-00003501"/>
    <s v="RE R-00008-00003501.pdf"/>
    <s v="SA"/>
    <n v="166641"/>
    <d v="2026-04-01T00:00:00"/>
    <s v="Gab_Hernandez"/>
    <n v="193063"/>
    <d v="2026-04-01T00:00:00"/>
    <d v="2026-04-01T00:00:00"/>
    <d v="2026-04-01T00:00:00"/>
    <d v="2026-04-01T00:00:00"/>
    <d v="2026-04-01T00:00:00"/>
    <d v="2026-04-01T00:00:00"/>
    <d v="2026-04-01T00:00:00"/>
    <m/>
    <m/>
    <m/>
    <m/>
    <m/>
    <m/>
    <s v="Pistachos "/>
    <n v="9"/>
    <n v="18"/>
  </r>
  <r>
    <n v="84526"/>
    <n v="2"/>
    <s v="2"/>
    <x v="34"/>
    <s v="PIST009   "/>
    <x v="10"/>
    <s v="Pistachos"/>
    <s v="Pistachos                                         "/>
    <n v="7"/>
    <n v="1"/>
    <n v="7"/>
    <n v="7"/>
    <n v="70"/>
    <x v="0"/>
    <s v="Pistachos_Garbi               "/>
    <s v="8001"/>
    <s v="FV B-00006-00000294"/>
    <s v="FV B-00006-00000294(4).pdf"/>
    <s v="RE R-00008-00003501"/>
    <s v="RE R-00008-00003501.pdf"/>
    <s v="SA"/>
    <n v="166644"/>
    <d v="2026-04-01T00:00:00"/>
    <s v="Gab_Hernandez"/>
    <n v="193062"/>
    <d v="2026-04-01T00:00:00"/>
    <d v="2026-04-01T00:00:00"/>
    <d v="2026-04-01T00:00:00"/>
    <d v="2026-04-01T00:00:00"/>
    <d v="2026-04-01T00:00:00"/>
    <d v="2026-04-01T00:00:00"/>
    <d v="2026-04-01T00:00:00"/>
    <m/>
    <m/>
    <m/>
    <m/>
    <m/>
    <m/>
    <s v="Pistachos "/>
    <n v="7"/>
    <n v="14"/>
  </r>
  <r>
    <n v="84123"/>
    <n v="1"/>
    <s v="1"/>
    <x v="3"/>
    <s v="PIST002   "/>
    <x v="2"/>
    <s v="Pistachos"/>
    <s v="Pistachos                                         "/>
    <n v="140"/>
    <n v="45"/>
    <n v="140"/>
    <n v="140"/>
    <n v="1400"/>
    <x v="0"/>
    <s v="Pistachos_Garbi               "/>
    <s v="COA"/>
    <s v="FV A-00006-00002844"/>
    <s v="FV A-00006-00002844.pdf"/>
    <s v="RE R-00008-00003534"/>
    <s v="RE R-00008-00003534.pdf"/>
    <s v="SA"/>
    <n v="166853"/>
    <d v="2026-04-06T00:00:00"/>
    <s v="Fer_Cristoforo"/>
    <n v="190980"/>
    <d v="2026-03-20T00:00:00"/>
    <d v="2026-03-20T00:00:00"/>
    <d v="2026-03-20T00:00:00"/>
    <d v="2026-04-06T00:00:00"/>
    <d v="2026-04-06T00:00:00"/>
    <d v="2026-04-06T00:00:00"/>
    <d v="2026-04-06T00:00:00"/>
    <m/>
    <m/>
    <m/>
    <m/>
    <m/>
    <m/>
    <s v="Pistachos "/>
    <n v="140"/>
    <n v="280"/>
  </r>
  <r>
    <n v="84752"/>
    <n v="1"/>
    <s v="2"/>
    <x v="80"/>
    <s v="PIST001   "/>
    <x v="5"/>
    <s v="Pistachos"/>
    <s v="Pistachos                                         "/>
    <n v="40"/>
    <n v="16.486999999999998"/>
    <n v="40"/>
    <n v="40"/>
    <n v="400"/>
    <x v="0"/>
    <s v="Pistachos_Garbi               "/>
    <s v="8001"/>
    <s v="FV A-00090-00000017"/>
    <s v="FV A-00090-00000017.pdf"/>
    <s v="RE R-00090-00000037"/>
    <s v="RE R-00090-00000037.pdf"/>
    <s v="SA"/>
    <n v="167531"/>
    <d v="2026-04-13T00:00:00"/>
    <s v="Gab_Hernandez"/>
    <n v="194137"/>
    <d v="2026-04-13T00:00:00"/>
    <d v="2026-04-13T00:00:00"/>
    <d v="2026-04-13T00:00:00"/>
    <d v="2026-04-13T00:00:00"/>
    <d v="2026-04-13T00:00:00"/>
    <d v="2026-04-13T00:00:00"/>
    <d v="2026-04-13T00:00:00"/>
    <m/>
    <m/>
    <m/>
    <m/>
    <m/>
    <m/>
    <s v="Pistachos "/>
    <n v="40"/>
    <n v="80"/>
  </r>
  <r>
    <n v="85023"/>
    <n v="1"/>
    <s v="2"/>
    <x v="73"/>
    <s v="PIST002   "/>
    <x v="2"/>
    <s v="Pistachos"/>
    <s v="Pistachos                                         "/>
    <n v="35"/>
    <n v="43.65"/>
    <n v="35"/>
    <n v="35"/>
    <n v="350"/>
    <x v="0"/>
    <s v="Pistachos_Garbi               "/>
    <s v="8001"/>
    <s v="FV A-00090-00000020"/>
    <s v="FV A-00090-00000020.pdf"/>
    <s v="RE R-00090-00000041"/>
    <s v="RE R-00090-00000041.pdf"/>
    <s v="SA"/>
    <n v="168682"/>
    <d v="2026-04-16T00:00:00"/>
    <s v="Gab_Hernandez"/>
    <n v="195613"/>
    <d v="2026-04-16T00:00:00"/>
    <d v="2026-04-16T00:00:00"/>
    <d v="2026-04-16T00:00:00"/>
    <d v="2026-04-16T00:00:00"/>
    <d v="2026-04-16T00:00:00"/>
    <d v="2026-04-16T00:00:00"/>
    <d v="2026-04-16T00:00:00"/>
    <m/>
    <m/>
    <m/>
    <m/>
    <m/>
    <m/>
    <s v="Pistachos "/>
    <n v="35"/>
    <n v="70"/>
  </r>
  <r>
    <n v="85022"/>
    <n v="1"/>
    <s v="1"/>
    <x v="73"/>
    <s v="PIST002   "/>
    <x v="2"/>
    <s v="Pistachos"/>
    <s v="Pistachos                                         "/>
    <n v="35"/>
    <n v="45"/>
    <n v="35"/>
    <n v="35"/>
    <n v="350"/>
    <x v="0"/>
    <s v="Pistachos_Garbi               "/>
    <s v="COA"/>
    <s v="FV A-00006-00002849"/>
    <s v="FV A-00006-00002849.pdf"/>
    <s v="RE R-00008-00003550"/>
    <s v="RE R-00008-00003550.pdf"/>
    <s v="SA"/>
    <n v="168681"/>
    <d v="2026-04-16T00:00:00"/>
    <s v="Gab_Hernandez"/>
    <n v="195612"/>
    <d v="2026-04-16T00:00:00"/>
    <d v="2026-04-16T00:00:00"/>
    <d v="2026-04-16T00:00:00"/>
    <d v="2026-04-16T00:00:00"/>
    <d v="2026-04-16T00:00:00"/>
    <d v="2026-04-16T00:00:00"/>
    <d v="2026-04-16T00:00:00"/>
    <m/>
    <m/>
    <m/>
    <m/>
    <m/>
    <m/>
    <s v="Pistachos "/>
    <n v="35"/>
    <n v="70"/>
  </r>
  <r>
    <n v="85021"/>
    <n v="1"/>
    <s v="1"/>
    <x v="37"/>
    <s v="PIST003   "/>
    <x v="6"/>
    <s v="Pistachos"/>
    <s v="Pistachos                                         "/>
    <n v="350"/>
    <n v="35.1"/>
    <n v="350"/>
    <n v="350"/>
    <n v="3500"/>
    <x v="0"/>
    <s v="Pistachos_Garbi               "/>
    <s v="COA"/>
    <s v="FV A-00006-00002847"/>
    <s v="FV A-00006-00002847(1).pdf"/>
    <s v="RE R-00008-00003548"/>
    <s v="RE R-00008-00003548.pdf"/>
    <s v="SA"/>
    <n v="168652"/>
    <d v="2026-04-16T00:00:00"/>
    <s v="Gab_Hernandez"/>
    <n v="195611"/>
    <d v="2026-04-16T00:00:00"/>
    <d v="2026-04-16T00:00:00"/>
    <d v="2026-04-16T00:00:00"/>
    <d v="2026-04-16T00:00:00"/>
    <d v="2026-04-16T00:00:00"/>
    <d v="2026-04-16T00:00:00"/>
    <d v="2026-04-16T00:00:00"/>
    <m/>
    <m/>
    <m/>
    <m/>
    <m/>
    <m/>
    <s v="Pistachos "/>
    <n v="350"/>
    <n v="700"/>
  </r>
  <r>
    <n v="85019"/>
    <n v="1"/>
    <s v="1"/>
    <x v="22"/>
    <s v="PIST003   "/>
    <x v="6"/>
    <s v="Pistachos"/>
    <s v="Pistachos                                         "/>
    <n v="210"/>
    <n v="35.15"/>
    <n v="210"/>
    <n v="210"/>
    <n v="2100"/>
    <x v="0"/>
    <s v="Pistachos_Garbi               "/>
    <s v="COA"/>
    <s v="FV A-00006-00002848"/>
    <s v="FV A-00006-00002848(1).pdf"/>
    <s v="RE R-00008-00003549"/>
    <s v="RE R-00008-00003549.pdf"/>
    <s v="SA"/>
    <n v="168638"/>
    <d v="2026-04-16T00:00:00"/>
    <s v="Gab_Hernandez"/>
    <n v="195608"/>
    <d v="2026-04-16T00:00:00"/>
    <d v="2026-04-16T00:00:00"/>
    <d v="2026-04-16T00:00:00"/>
    <d v="2026-04-16T00:00:00"/>
    <d v="2026-04-16T00:00:00"/>
    <d v="2026-04-16T00:00:00"/>
    <d v="2026-04-16T00:00:00"/>
    <m/>
    <m/>
    <m/>
    <m/>
    <m/>
    <m/>
    <s v="Pistachos "/>
    <n v="210"/>
    <n v="420"/>
  </r>
  <r>
    <n v="82800"/>
    <n v="2"/>
    <s v="1"/>
    <x v="22"/>
    <s v="PIST002   "/>
    <x v="2"/>
    <s v="Pistachos"/>
    <s v="Pistachos                                         "/>
    <n v="420"/>
    <n v="37"/>
    <n v="420"/>
    <n v="420"/>
    <n v="4200"/>
    <x v="0"/>
    <s v="Pistachos_Garbi               "/>
    <s v="COA"/>
    <s v="FV A-00006-00002848"/>
    <s v="FV A-00006-00002848.pdf"/>
    <s v="RE R-00008-00003549"/>
    <s v="RE R-00008-00003549.pdf"/>
    <s v="SA"/>
    <n v="168637"/>
    <d v="2026-04-16T00:00:00"/>
    <s v="Gab_Hernandez"/>
    <n v="190940"/>
    <d v="2026-03-20T00:00:00"/>
    <d v="2026-03-20T00:00:00"/>
    <d v="2026-04-16T00:00:00"/>
    <d v="2026-04-16T00:00:00"/>
    <d v="2026-04-16T00:00:00"/>
    <d v="2026-04-16T00:00:00"/>
    <d v="2026-04-16T00:00:00"/>
    <m/>
    <m/>
    <m/>
    <m/>
    <m/>
    <m/>
    <s v="Pistachos "/>
    <n v="420"/>
    <n v="840"/>
  </r>
  <r>
    <n v="82800"/>
    <n v="3"/>
    <s v="1"/>
    <x v="22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850"/>
    <s v="FV A-00006-00002850.pdf"/>
    <s v="RE R-00008-00003552"/>
    <s v="RE R-00008-00003552.pdf"/>
    <s v="SA"/>
    <n v="168639"/>
    <d v="2026-04-16T00:00:00"/>
    <s v="Gab_Hernandez"/>
    <n v="195607"/>
    <d v="2026-04-16T00:00:00"/>
    <d v="2026-04-16T00:00:00"/>
    <d v="2026-04-16T00:00:00"/>
    <d v="2026-04-16T00:00:00"/>
    <d v="2026-04-16T00:00:00"/>
    <d v="2026-04-16T00:00:00"/>
    <d v="2026-04-16T00:00:00"/>
    <m/>
    <m/>
    <m/>
    <m/>
    <m/>
    <m/>
    <s v="Pistachos "/>
    <n v="70"/>
    <n v="140"/>
  </r>
  <r>
    <n v="82767"/>
    <n v="2"/>
    <s v="1"/>
    <x v="37"/>
    <s v="PIST002   "/>
    <x v="2"/>
    <s v="Pistachos"/>
    <s v="Pistachos                                         "/>
    <n v="420"/>
    <n v="36.950000000000003"/>
    <n v="420"/>
    <n v="420"/>
    <n v="4200"/>
    <x v="0"/>
    <s v="Pistachos_Garbi               "/>
    <s v="COA"/>
    <s v="FV A-00006-00002847"/>
    <s v="FV A-00006-00002847.pdf"/>
    <s v="RE R-00008-00003548"/>
    <s v="RE R-00008-00003548.pdf"/>
    <s v="SA"/>
    <n v="168640"/>
    <d v="2026-04-16T00:00:00"/>
    <s v="Gab_Hernandez"/>
    <n v="190970"/>
    <d v="2026-03-20T00:00:00"/>
    <d v="2026-03-20T00:00:00"/>
    <d v="2026-04-16T00:00:00"/>
    <d v="2026-04-16T00:00:00"/>
    <d v="2026-04-16T00:00:00"/>
    <d v="2026-04-16T00:00:00"/>
    <d v="2026-04-16T00:00:00"/>
    <m/>
    <m/>
    <m/>
    <m/>
    <m/>
    <m/>
    <s v="Pistachos "/>
    <n v="420"/>
    <n v="840"/>
  </r>
  <r>
    <n v="85814"/>
    <n v="2"/>
    <s v="2"/>
    <x v="0"/>
    <s v="PIST002   "/>
    <x v="2"/>
    <s v="Pistachos"/>
    <s v="Pistachos                                         "/>
    <n v="70"/>
    <n v="42"/>
    <n v="70"/>
    <n v="70"/>
    <n v="700"/>
    <x v="0"/>
    <s v="Pistachos_Garbi               "/>
    <s v="8001"/>
    <s v="FV A-00090-00000021"/>
    <s v="FV A-00090-00000021(1).pdf"/>
    <s v="RE R-00090-00000043"/>
    <s v="RE R-00090-00000043.pdf"/>
    <s v="SA"/>
    <n v="172051"/>
    <d v="2026-05-08T00:00:00"/>
    <s v="Gab_Hernandez"/>
    <n v="199860"/>
    <d v="2026-05-08T00:00:00"/>
    <d v="2026-05-08T00:00:00"/>
    <d v="2026-05-08T00:00:00"/>
    <d v="2026-05-08T00:00:00"/>
    <d v="2026-05-08T00:00:00"/>
    <d v="2026-05-08T00:00:00"/>
    <d v="2026-05-08T00:00:00"/>
    <m/>
    <m/>
    <m/>
    <m/>
    <m/>
    <m/>
    <s v="Pistachos "/>
    <n v="70"/>
    <n v="140"/>
  </r>
  <r>
    <n v="85814"/>
    <n v="1"/>
    <s v="2"/>
    <x v="0"/>
    <s v="PIST001   "/>
    <x v="5"/>
    <s v="Pistachos"/>
    <s v="Pistachos                                         "/>
    <n v="70"/>
    <n v="16.254000000000001"/>
    <n v="70"/>
    <n v="70"/>
    <n v="700"/>
    <x v="0"/>
    <s v="Pistachos_Garbi               "/>
    <s v="8001"/>
    <s v="FV A-00090-00000021"/>
    <s v="FV A-00090-00000021.pdf"/>
    <s v="RE R-00090-00000043"/>
    <s v="RE R-00090-00000043.pdf"/>
    <s v="SA"/>
    <n v="172052"/>
    <d v="2026-05-08T00:00:00"/>
    <s v="Gab_Hernandez"/>
    <n v="199856"/>
    <d v="2026-05-08T00:00:00"/>
    <d v="2026-05-08T00:00:00"/>
    <d v="2026-05-08T00:00:00"/>
    <d v="2026-05-08T00:00:00"/>
    <d v="2026-05-08T00:00:00"/>
    <d v="2026-05-08T00:00:00"/>
    <d v="2026-05-08T00:00:00"/>
    <m/>
    <m/>
    <m/>
    <m/>
    <m/>
    <m/>
    <s v="Pistachos "/>
    <n v="70"/>
    <n v="140"/>
  </r>
  <r>
    <n v="86057"/>
    <n v="1"/>
    <s v="1"/>
    <x v="33"/>
    <s v="PIST002   "/>
    <x v="2"/>
    <s v="Pistachos"/>
    <s v="Pistachos                                         "/>
    <n v="70"/>
    <n v="42"/>
    <n v="70"/>
    <n v="70"/>
    <n v="700"/>
    <x v="0"/>
    <s v="Pistachos_Garbi               "/>
    <s v="COA"/>
    <s v="FV A-00006-00002854"/>
    <s v="FV A-00006-00002854.pdf"/>
    <s v="RE R-00008-00003560"/>
    <s v="RE R-00008-00003560.pdf"/>
    <s v="SA"/>
    <n v="172922"/>
    <d v="2026-05-14T00:00:00"/>
    <s v="Gab_Hernandez"/>
    <n v="200715"/>
    <d v="2026-05-14T00:00:00"/>
    <d v="2026-05-14T00:00:00"/>
    <d v="2026-05-14T00:00:00"/>
    <d v="2026-05-14T00:00:00"/>
    <d v="2026-05-14T00:00:00"/>
    <d v="2026-05-14T00:00:00"/>
    <d v="2026-05-14T00:00:00"/>
    <m/>
    <m/>
    <m/>
    <m/>
    <m/>
    <m/>
    <s v="Pistachos "/>
    <n v="70"/>
    <n v="140"/>
  </r>
  <r>
    <n v="86150"/>
    <n v="1"/>
    <s v="2"/>
    <x v="0"/>
    <s v="PIST001   "/>
    <x v="5"/>
    <s v="Pistachos"/>
    <s v="Pistachos                                         "/>
    <n v="70"/>
    <n v="15.14"/>
    <n v="70"/>
    <n v="70"/>
    <n v="700"/>
    <x v="0"/>
    <s v="Pistachos_Garbi               "/>
    <s v="8001"/>
    <s v="FV A-00090-00000022"/>
    <s v="FV A-00090-00000022.pdf"/>
    <s v="RE R-00090-00000044"/>
    <s v="RE R-00090-00000044.pdf"/>
    <s v="SA"/>
    <n v="173121"/>
    <d v="2026-05-18T00:00:00"/>
    <s v="Gab_Hernandez"/>
    <n v="201161"/>
    <d v="2026-05-18T00:00:00"/>
    <d v="2026-05-18T00:00:00"/>
    <d v="2026-05-18T00:00:00"/>
    <d v="2026-05-18T00:00:00"/>
    <d v="2026-05-18T00:00:00"/>
    <d v="2026-05-18T00:00:00"/>
    <d v="2026-05-18T00:00:00"/>
    <m/>
    <m/>
    <m/>
    <m/>
    <m/>
    <m/>
    <s v="Pistachos "/>
    <n v="70"/>
    <n v="140"/>
  </r>
  <r>
    <n v="86633"/>
    <n v="1"/>
    <s v="1"/>
    <x v="37"/>
    <s v="PIST003   "/>
    <x v="6"/>
    <s v="Pistachos"/>
    <s v="Pistachos                                         "/>
    <n v="210"/>
    <n v="35.1"/>
    <n v="210"/>
    <n v="210"/>
    <n v="2100"/>
    <x v="0"/>
    <s v="Pistachos_Garbi               "/>
    <s v="COA"/>
    <s v="FV A-00006-00002859"/>
    <s v="FV A-00006-00002859(1).pdf"/>
    <s v="RE R-00008-00003578"/>
    <s v="RE R-00008-00003578.pdf"/>
    <s v="SA"/>
    <n v="174842"/>
    <d v="2026-06-01T00:00:00"/>
    <s v="Gab_Hernandez"/>
    <n v="203036"/>
    <d v="2026-06-01T00:00:00"/>
    <d v="2026-06-01T00:00:00"/>
    <d v="2026-06-01T00:00:00"/>
    <d v="2026-06-01T00:00:00"/>
    <d v="2026-06-01T00:00:00"/>
    <d v="2026-06-01T00:00:00"/>
    <d v="2026-06-01T00:00:00"/>
    <m/>
    <m/>
    <m/>
    <m/>
    <m/>
    <m/>
    <s v="Pistachos "/>
    <n v="210"/>
    <n v="420"/>
  </r>
  <r>
    <n v="82767"/>
    <n v="3"/>
    <s v="1"/>
    <x v="37"/>
    <s v="PIST002   "/>
    <x v="2"/>
    <s v="Pistachos"/>
    <s v="Pistachos                                         "/>
    <n v="560"/>
    <n v="36.950000000000003"/>
    <n v="560"/>
    <n v="560"/>
    <n v="5600"/>
    <x v="0"/>
    <s v="Pistachos_Garbi               "/>
    <s v="COA"/>
    <s v="FV A-00006-00002859"/>
    <s v="FV A-00006-00002859.pdf"/>
    <s v="RE R-00008-00003578"/>
    <s v="RE R-00008-00003578.pdf"/>
    <s v="SA"/>
    <n v="174841"/>
    <d v="2026-06-01T00:00:00"/>
    <s v="Gab_Hernandez"/>
    <n v="195610"/>
    <d v="2026-04-16T00:00:00"/>
    <d v="2026-04-16T00:00:00"/>
    <d v="2026-06-01T00:00:00"/>
    <d v="2026-06-01T00:00:00"/>
    <d v="2026-06-01T00:00:00"/>
    <d v="2026-06-01T00:00:00"/>
    <d v="2026-06-01T00:00:00"/>
    <m/>
    <m/>
    <m/>
    <m/>
    <m/>
    <m/>
    <s v="Pistachos "/>
    <n v="560"/>
    <n v="1120"/>
  </r>
  <r>
    <n v="87138"/>
    <n v="1"/>
    <s v="1"/>
    <x v="33"/>
    <s v="PIST004   "/>
    <x v="4"/>
    <s v="Pistachos"/>
    <s v="Pistachos                                         "/>
    <n v="70"/>
    <n v="42"/>
    <n v="70"/>
    <n v="70"/>
    <n v="700"/>
    <x v="0"/>
    <s v="Pistachos_Garbi               "/>
    <s v="COA"/>
    <s v="FV A-00006-00002862"/>
    <s v="FV A-00006-00002862.pdf"/>
    <s v="RE R-00008-00003581"/>
    <s v="RE R-00008-00003581.pdf"/>
    <s v="SA"/>
    <n v="176574"/>
    <d v="2026-06-17T00:00:00"/>
    <s v="Gab_Hernandez"/>
    <n v="205338"/>
    <d v="2026-06-17T00:00:00"/>
    <d v="2026-06-17T00:00:00"/>
    <d v="2026-06-17T00:00:00"/>
    <d v="2026-06-17T00:00:00"/>
    <d v="2026-06-17T00:00:00"/>
    <d v="2026-06-17T00:00:00"/>
    <d v="2026-06-17T00:00:00"/>
    <m/>
    <m/>
    <m/>
    <m/>
    <m/>
    <m/>
    <s v="Pistachos "/>
    <n v="70"/>
    <n v="140"/>
  </r>
  <r>
    <n v="86632"/>
    <n v="1"/>
    <s v="1"/>
    <x v="81"/>
    <s v="PIST004   "/>
    <x v="4"/>
    <s v="Pistachos"/>
    <s v="Pistachos                                         "/>
    <n v="40"/>
    <n v="45"/>
    <n v="40"/>
    <n v="40"/>
    <n v="400"/>
    <x v="0"/>
    <s v="Pistachos_Garbi               "/>
    <s v="COA"/>
    <s v="FV A-00006-00002858"/>
    <s v="FV A-00006-00002858.pdf"/>
    <s v="RE R-00008-00003577"/>
    <s v="RE R-00008-00003577.pdf"/>
    <s v="SA"/>
    <n v="177423"/>
    <d v="2026-06-22T00:00:00"/>
    <s v="Gab_Hernandez"/>
    <n v="203035"/>
    <d v="2026-06-01T00:00:00"/>
    <d v="2026-06-01T00:00:00"/>
    <d v="2026-06-22T00:00:00"/>
    <d v="2026-06-22T00:00:00"/>
    <d v="2026-06-22T00:00:00"/>
    <d v="2026-06-22T00:00:00"/>
    <d v="2026-06-22T00:00:00"/>
    <m/>
    <m/>
    <m/>
    <m/>
    <m/>
    <m/>
    <s v="Pistachos "/>
    <n v="40"/>
    <n v="80"/>
  </r>
  <r>
    <n v="87457"/>
    <n v="1"/>
    <s v="2"/>
    <x v="0"/>
    <s v="PIST001   "/>
    <x v="5"/>
    <s v="Pistachos"/>
    <s v="Pistachos                                         "/>
    <n v="70"/>
    <n v="15.436"/>
    <n v="70"/>
    <n v="70"/>
    <n v="700"/>
    <x v="0"/>
    <s v="Pistachos_Garbi               "/>
    <s v="8001"/>
    <s v="FV A-00090-00000023"/>
    <s v="FV A-00090-00000023.pdf"/>
    <s v="RE R-00090-00000054"/>
    <s v="RE R-00090-00000054.pdf"/>
    <s v="SA"/>
    <n v="177797"/>
    <d v="2026-06-25T00:00:00"/>
    <s v="Gab_Hernandez"/>
    <n v="206719"/>
    <d v="2026-06-25T00:00:00"/>
    <d v="2026-06-25T00:00:00"/>
    <d v="2026-06-25T00:00:00"/>
    <d v="2026-06-25T00:00:00"/>
    <d v="2026-06-25T00:00:00"/>
    <d v="2026-06-25T00:00:00"/>
    <d v="2026-06-25T00:00:00"/>
    <m/>
    <m/>
    <m/>
    <m/>
    <m/>
    <m/>
    <s v="Pistachos "/>
    <n v="70"/>
    <n v="140"/>
  </r>
  <r>
    <n v="82767"/>
    <n v="4"/>
    <s v="1"/>
    <x v="37"/>
    <s v="PIST002   "/>
    <x v="2"/>
    <s v="Pistachos"/>
    <s v="Pistachos                                         "/>
    <n v="420"/>
    <n v="36.950000000000003"/>
    <n v="420"/>
    <n v="420"/>
    <n v="4200"/>
    <x v="0"/>
    <s v="Pistachos_Garbi               "/>
    <s v="COA"/>
    <s v="FV A-00006-00002865"/>
    <s v="FV A-00006-00002865.pdf"/>
    <s v="RE R-00008-00003594"/>
    <s v="RE R-00008-00003594.pdf"/>
    <s v="SA"/>
    <n v="179045"/>
    <d v="2026-07-07T00:00:00"/>
    <s v="Gab_Hernandez"/>
    <n v="203034"/>
    <d v="2026-06-01T00:00:00"/>
    <d v="2026-06-01T00:00:00"/>
    <d v="2026-07-07T00:00:00"/>
    <d v="2026-07-07T00:00:00"/>
    <d v="2026-07-07T00:00:00"/>
    <d v="2026-07-07T00:00:00"/>
    <d v="2026-07-07T00:00:00"/>
    <m/>
    <m/>
    <m/>
    <m/>
    <m/>
    <m/>
    <s v="Pistachos "/>
    <n v="420"/>
    <n v="840"/>
  </r>
  <r>
    <n v="87924"/>
    <n v="1"/>
    <s v="2"/>
    <x v="57"/>
    <s v="PIST001   "/>
    <x v="5"/>
    <s v="Pistachos"/>
    <s v="Pistachos                                         "/>
    <n v="50"/>
    <n v="15.23"/>
    <n v="50"/>
    <n v="50"/>
    <n v="500"/>
    <x v="0"/>
    <s v="Pistachos_Garbi               "/>
    <s v="8001"/>
    <s v="FV B-00090-00000042"/>
    <s v="FV B-00090-00000042.pdf"/>
    <s v="RE R-00090-00000061"/>
    <s v="RE R-00090-00000061.pdf"/>
    <s v="SA"/>
    <n v="179482"/>
    <d v="2026-07-13T00:00:00"/>
    <s v="Gab_Hernandez"/>
    <n v="208629"/>
    <d v="2026-07-13T00:00:00"/>
    <d v="2026-07-13T00:00:00"/>
    <d v="2026-07-13T00:00:00"/>
    <d v="2026-07-13T00:00:00"/>
    <d v="2026-07-13T00:00:00"/>
    <d v="2026-07-13T00:00:00"/>
    <d v="2026-07-13T00:00:00"/>
    <m/>
    <m/>
    <m/>
    <m/>
    <m/>
    <m/>
    <s v="Pistachos "/>
    <n v="50"/>
    <n v="100"/>
  </r>
  <r>
    <n v="88023"/>
    <n v="1"/>
    <s v="2"/>
    <x v="5"/>
    <s v="PIST001   "/>
    <x v="5"/>
    <s v="Pistachos"/>
    <s v="Pistachos                                         "/>
    <n v="20"/>
    <n v="15.384"/>
    <n v="20"/>
    <n v="20"/>
    <n v="200"/>
    <x v="0"/>
    <s v="Pistachos_Garbi               "/>
    <s v="8001"/>
    <s v="FV A-00090-00000025"/>
    <s v="FV A-00090-00000025.pdf"/>
    <s v="RE R-00090-00000063"/>
    <s v="RE R-00090-00000063.pdf"/>
    <s v="SA"/>
    <n v="179769"/>
    <d v="2026-07-15T00:00:00"/>
    <s v="Gab_Hernandez"/>
    <n v="208994"/>
    <d v="2026-07-15T00:00:00"/>
    <d v="2026-07-15T00:00:00"/>
    <d v="2026-07-15T00:00:00"/>
    <d v="2026-07-15T00:00:00"/>
    <d v="2026-07-15T00:00:00"/>
    <d v="2026-07-15T00:00:00"/>
    <d v="2026-07-15T00:00:00"/>
    <m/>
    <m/>
    <m/>
    <m/>
    <m/>
    <m/>
    <s v="Pistachos "/>
    <n v="20"/>
    <n v="40"/>
  </r>
  <r>
    <n v="84752"/>
    <n v="2"/>
    <s v="2"/>
    <x v="80"/>
    <s v="PIST001   "/>
    <x v="5"/>
    <s v="Pistachos"/>
    <s v="Pistachos                                         "/>
    <n v="360"/>
    <n v="16.486999999999998"/>
    <n v="0"/>
    <n v="0"/>
    <n v="0"/>
    <x v="2"/>
    <s v="Preventa                      "/>
    <m/>
    <m/>
    <m/>
    <m/>
    <m/>
    <m/>
    <m/>
    <m/>
    <s v="Gab_Hernandez"/>
    <n v="194140"/>
    <d v="2026-04-13T00:00:00"/>
    <d v="2026-04-17T00:00:00"/>
    <m/>
    <m/>
    <m/>
    <m/>
    <m/>
    <m/>
    <m/>
    <m/>
    <m/>
    <m/>
    <m/>
    <s v="Pistachos "/>
    <n v="360"/>
    <n v="720"/>
  </r>
  <r>
    <n v="84119"/>
    <n v="1"/>
    <s v="1"/>
    <x v="22"/>
    <s v="PIST002   "/>
    <x v="2"/>
    <s v="Pistachos"/>
    <s v="Pistachos                                         "/>
    <n v="4060"/>
    <n v="37"/>
    <n v="0"/>
    <n v="0"/>
    <n v="0"/>
    <x v="2"/>
    <s v="Pistachos_Garbi               "/>
    <m/>
    <m/>
    <m/>
    <m/>
    <m/>
    <m/>
    <m/>
    <m/>
    <s v="Gab_Hernandez"/>
    <n v="190972"/>
    <d v="2026-03-20T00:00:00"/>
    <d v="2026-03-20T00:00:00"/>
    <m/>
    <m/>
    <m/>
    <m/>
    <m/>
    <m/>
    <m/>
    <m/>
    <m/>
    <m/>
    <m/>
    <s v="Pistachos "/>
    <n v="4060"/>
    <n v="8120"/>
  </r>
  <r>
    <n v="83629"/>
    <n v="2"/>
    <s v="2"/>
    <x v="57"/>
    <s v="PIST001   "/>
    <x v="5"/>
    <s v="Pistachos"/>
    <s v="Pistachos                                         "/>
    <n v="630"/>
    <n v="16.027000000000001"/>
    <n v="0"/>
    <n v="0"/>
    <n v="0"/>
    <x v="2"/>
    <s v="Preventa                      "/>
    <m/>
    <m/>
    <m/>
    <m/>
    <m/>
    <m/>
    <m/>
    <m/>
    <s v="Gab_Hernandez"/>
    <n v="188692"/>
    <d v="2026-03-09T00:00:00"/>
    <d v="2026-03-20T00:00:00"/>
    <m/>
    <m/>
    <m/>
    <m/>
    <m/>
    <m/>
    <m/>
    <m/>
    <m/>
    <m/>
    <m/>
    <s v="Pistachos "/>
    <n v="630"/>
    <n v="1260"/>
  </r>
  <r>
    <n v="83628"/>
    <n v="2"/>
    <s v="2"/>
    <x v="1"/>
    <s v="PIST001   "/>
    <x v="5"/>
    <s v="Pistachos"/>
    <s v="Pistachos                                         "/>
    <n v="315"/>
    <n v="16.027000000000001"/>
    <n v="0"/>
    <n v="0"/>
    <n v="0"/>
    <x v="2"/>
    <s v="Preventa                      "/>
    <m/>
    <m/>
    <m/>
    <m/>
    <m/>
    <m/>
    <m/>
    <m/>
    <s v="Gab_Hernandez"/>
    <n v="188694"/>
    <d v="2026-03-09T00:00:00"/>
    <d v="2026-03-20T00:00:00"/>
    <m/>
    <m/>
    <m/>
    <m/>
    <m/>
    <m/>
    <m/>
    <m/>
    <m/>
    <m/>
    <m/>
    <s v="Pistachos "/>
    <n v="315"/>
    <n v="630"/>
  </r>
  <r>
    <n v="83627"/>
    <n v="2"/>
    <s v="1"/>
    <x v="1"/>
    <s v="PIST001   "/>
    <x v="5"/>
    <s v="Pistachos"/>
    <s v="Pistachos                                         "/>
    <n v="315"/>
    <n v="19.39"/>
    <n v="0"/>
    <n v="0"/>
    <n v="0"/>
    <x v="2"/>
    <s v="Preventa                      "/>
    <m/>
    <m/>
    <m/>
    <m/>
    <m/>
    <m/>
    <m/>
    <m/>
    <s v="Gab_Hernandez"/>
    <n v="188695"/>
    <d v="2026-03-09T00:00:00"/>
    <d v="2026-03-20T00:00:00"/>
    <m/>
    <m/>
    <m/>
    <m/>
    <m/>
    <m/>
    <m/>
    <m/>
    <m/>
    <m/>
    <m/>
    <s v="Pistachos "/>
    <n v="315"/>
    <n v="630"/>
  </r>
  <r>
    <n v="82767"/>
    <n v="5"/>
    <s v="1"/>
    <x v="37"/>
    <s v="PIST002   "/>
    <x v="2"/>
    <s v="Pistachos"/>
    <s v="Pistachos                                         "/>
    <n v="3150"/>
    <n v="36.950000000000003"/>
    <n v="0"/>
    <n v="0"/>
    <n v="0"/>
    <x v="2"/>
    <s v="Pistachos_Garbi               "/>
    <m/>
    <m/>
    <m/>
    <m/>
    <m/>
    <m/>
    <m/>
    <m/>
    <s v="Gab_Hernandez"/>
    <n v="208165"/>
    <d v="2026-07-07T00:00:00"/>
    <d v="2026-07-07T00:00:00"/>
    <m/>
    <m/>
    <m/>
    <m/>
    <m/>
    <m/>
    <m/>
    <m/>
    <m/>
    <m/>
    <m/>
    <s v="Pistachos "/>
    <n v="3150"/>
    <n v="6300"/>
  </r>
  <r>
    <n v="79263"/>
    <n v="1"/>
    <s v="1"/>
    <x v="34"/>
    <s v="PIST007   "/>
    <x v="7"/>
    <s v="Pistachos"/>
    <s v="Pistachos                                         "/>
    <n v="0"/>
    <n v="37"/>
    <n v="0"/>
    <n v="0"/>
    <n v="0"/>
    <x v="3"/>
    <s v="Pistachos_Garbi               "/>
    <m/>
    <m/>
    <m/>
    <m/>
    <m/>
    <m/>
    <m/>
    <m/>
    <s v="Gab_Hernandez"/>
    <n v="163365"/>
    <d v="2025-09-29T00:00:00"/>
    <d v="2025-09-29T00:00:00"/>
    <d v="2025-09-29T00:00:00"/>
    <m/>
    <m/>
    <m/>
    <m/>
    <m/>
    <m/>
    <m/>
    <m/>
    <m/>
    <d v="2025-10-01T00:00:00"/>
    <s v="Pistachos "/>
    <n v="0"/>
    <n v="0"/>
  </r>
  <r>
    <n v="77870"/>
    <n v="2"/>
    <s v="1"/>
    <x v="16"/>
    <s v="PIST002   "/>
    <x v="2"/>
    <s v="Pistachos"/>
    <s v="Pistachos                                         "/>
    <n v="420"/>
    <n v="37"/>
    <n v="0"/>
    <n v="0"/>
    <n v="0"/>
    <x v="2"/>
    <s v="Eliminados                    "/>
    <m/>
    <m/>
    <m/>
    <m/>
    <m/>
    <m/>
    <m/>
    <m/>
    <s v="Gab_Hernandez"/>
    <n v="155630"/>
    <d v="2025-08-15T00:00:00"/>
    <d v="2026-02-05T00:00:00"/>
    <d v="2025-11-05T00:00:00"/>
    <m/>
    <m/>
    <m/>
    <m/>
    <m/>
    <m/>
    <m/>
    <m/>
    <m/>
    <m/>
    <s v="Pistachos "/>
    <n v="420"/>
    <n v="8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76300"/>
    <n v="1"/>
    <s v="2"/>
    <x v="0"/>
    <s v="TOST      "/>
    <x v="0"/>
    <s v="Pistachos"/>
    <s v="Pistachos                                         "/>
    <n v="70"/>
    <n v="17.2"/>
    <n v="70"/>
    <n v="70"/>
    <n v="700"/>
    <x v="0"/>
    <s v="Pistachos_Garbi               "/>
    <s v="COA"/>
    <s v="FV A-00090-00029799"/>
    <s v="FV A-00090-00029799.pdf"/>
    <s v="RE R-00008-00003318"/>
    <s v="RE R-00008-00003318.pdf"/>
    <s v="SA"/>
    <n v="128885"/>
    <d v="2025-07-14T00:00:00"/>
    <s v="Gab_Hernandez"/>
    <n v="147781"/>
    <d v="2025-07-02T00:00:00"/>
    <d v="2025-07-02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78"/>
    <n v="1"/>
    <s v="1"/>
    <x v="1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05"/>
    <s v="FV A-00006-00002705.pdf"/>
    <s v="RE R-00008-00003294"/>
    <s v="RE R-00008-00003294.pdf"/>
    <s v="SA"/>
    <n v="128894"/>
    <d v="2025-07-04T00:00:00"/>
    <s v="Fer_Cristoforo"/>
    <n v="147651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73"/>
    <n v="1"/>
    <s v="1"/>
    <x v="2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06"/>
    <s v="FV A-00006-00002706.pdf"/>
    <s v="RE R-00008-00003295"/>
    <s v="RE R-00008-00003295.pdf"/>
    <s v="SA"/>
    <n v="128898"/>
    <d v="2025-07-04T00:00:00"/>
    <s v="Gab_Hernandez"/>
    <n v="147588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53"/>
    <n v="1"/>
    <s v="1"/>
    <x v="3"/>
    <s v="PEPA      "/>
    <x v="1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707"/>
    <s v="FV A-00006-00002707.pdf"/>
    <s v="RE R-00008-00003296"/>
    <s v="RE R-00008-00003296.pdf"/>
    <s v="SA"/>
    <n v="128909"/>
    <d v="2025-07-04T00:00:00"/>
    <s v="Fer_Cristoforo"/>
    <n v="147522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140"/>
    <n v="280"/>
  </r>
  <r>
    <n v="76252"/>
    <n v="1"/>
    <s v="2"/>
    <x v="4"/>
    <s v="PEPA      "/>
    <x v="1"/>
    <s v="Pistachos"/>
    <s v="Pistachos                                         "/>
    <n v="70"/>
    <n v="30.35"/>
    <n v="70"/>
    <n v="70"/>
    <n v="700"/>
    <x v="0"/>
    <s v="Pistachos_Garbi               "/>
    <s v="COA"/>
    <s v="FV B-00090-00003698"/>
    <s v="FV B-00090-00003698.pdf"/>
    <s v="RE R-00000-00003316"/>
    <s v="RE R-00000-00003316.pdf"/>
    <s v="SA"/>
    <n v="128917"/>
    <d v="2025-07-14T00:00:00"/>
    <s v="Fer_Cristoforo"/>
    <n v="147520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45"/>
    <n v="1"/>
    <s v="2"/>
    <x v="5"/>
    <s v="PEPA      "/>
    <x v="1"/>
    <s v="Pistachos"/>
    <s v="Pistachos                                         "/>
    <n v="70"/>
    <n v="30.35"/>
    <n v="70"/>
    <n v="70"/>
    <n v="700"/>
    <x v="0"/>
    <s v="Pistachos_Garbi               "/>
    <s v="COA"/>
    <s v="FV A-00090-00029661"/>
    <s v="FV A-00090-00029661.pdf"/>
    <s v="RE R-00008-00003310"/>
    <s v="RE R-00008-00003310.pdf"/>
    <s v="SA"/>
    <n v="128918"/>
    <d v="2025-07-04T00:00:00"/>
    <s v="Fer_Cristoforo"/>
    <n v="147488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43"/>
    <n v="1"/>
    <s v="1"/>
    <x v="6"/>
    <s v="PEPA      "/>
    <x v="1"/>
    <s v="Pistachos"/>
    <s v="Pistachos                                         "/>
    <n v="70"/>
    <n v="31.3"/>
    <n v="70"/>
    <n v="70"/>
    <n v="700"/>
    <x v="0"/>
    <s v="Pistachos_Garbi               "/>
    <s v="COA"/>
    <s v="FV A-00006-00002712"/>
    <s v="FV A-00006-00002712.pdf"/>
    <s v="RE R-00008-00003303"/>
    <s v="RE R-00008-00003303.pdf"/>
    <s v="SA"/>
    <n v="128919"/>
    <d v="2025-07-04T00:00:00"/>
    <s v="Fer_Cristoforo"/>
    <n v="147486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36"/>
    <n v="1"/>
    <s v="1"/>
    <x v="7"/>
    <s v="TOST      "/>
    <x v="0"/>
    <s v="Pistachos"/>
    <s v="Pistachos                                         "/>
    <n v="70"/>
    <n v="17.5"/>
    <n v="70"/>
    <n v="70"/>
    <n v="700"/>
    <x v="0"/>
    <s v="Pistachos_Garbi               "/>
    <s v="COA"/>
    <s v="FV A-00006-00002704"/>
    <s v="FV A-00006-00002704.pdf"/>
    <s v="RE R-00008-00003293"/>
    <s v="RE R-00008-00003293.pdf"/>
    <s v="SA"/>
    <n v="128920"/>
    <d v="2025-07-07T00:00:00"/>
    <s v="Fer_Cristoforo"/>
    <n v="147464"/>
    <d v="2025-07-01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22"/>
    <n v="1"/>
    <s v="1"/>
    <x v="6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12"/>
    <s v="FV A-00006-00002712(1).pdf"/>
    <s v="RE R-00008-00003303"/>
    <s v="RE R-00008-00003303.pdf"/>
    <s v="SA"/>
    <n v="128921"/>
    <d v="2025-07-08T00:00:00"/>
    <s v="Fer_Cristoforo"/>
    <n v="147414"/>
    <d v="2025-06-30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17"/>
    <n v="1"/>
    <s v="1"/>
    <x v="8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03"/>
    <s v="FV A-00006-00002703.pdf"/>
    <s v="RE R-00008-00003292"/>
    <s v="RE R-00008-00003292.pdf"/>
    <s v="SA"/>
    <n v="128922"/>
    <d v="2025-07-07T00:00:00"/>
    <s v="Fer_Cristoforo"/>
    <n v="147321"/>
    <d v="2025-06-30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12"/>
    <n v="1"/>
    <s v="2"/>
    <x v="9"/>
    <s v="TOST      "/>
    <x v="0"/>
    <s v="Pistachos"/>
    <s v="Pistachos                                         "/>
    <n v="70"/>
    <n v="17.2"/>
    <n v="70"/>
    <n v="70"/>
    <n v="700"/>
    <x v="0"/>
    <s v="Pistachos_Garbi               "/>
    <s v="COA"/>
    <s v="FV B-00090-00003661"/>
    <s v="FV B-00090-00003661.pdf"/>
    <s v="RE R-00008-00003308"/>
    <s v="RE R-00008-00003308.pdf"/>
    <s v="SA"/>
    <n v="128878"/>
    <d v="2025-07-07T00:00:00"/>
    <s v="Fer_Cristoforo"/>
    <n v="147284"/>
    <d v="2025-06-30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70"/>
    <n v="140"/>
  </r>
  <r>
    <n v="76207"/>
    <n v="2"/>
    <s v="1"/>
    <x v="10"/>
    <s v="TOST      "/>
    <x v="0"/>
    <s v="Pistachos"/>
    <s v="Pistachos                                         "/>
    <n v="650"/>
    <n v="12.1"/>
    <n v="650"/>
    <n v="650"/>
    <n v="6500"/>
    <x v="0"/>
    <s v="Pistachos_Garbi               "/>
    <s v="COA"/>
    <s v="FV E-00007-00000077"/>
    <s v="FV E-00007-00000077(1).pdf"/>
    <s v="RE R-00008-00003300"/>
    <s v="RE R-00008-00003300.pdf"/>
    <s v="SA"/>
    <n v="128855"/>
    <d v="2025-07-08T00:00:00"/>
    <s v="Gab_Hernandez"/>
    <n v="147252"/>
    <d v="2025-06-30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650"/>
    <n v="1300"/>
  </r>
  <r>
    <n v="76207"/>
    <n v="1"/>
    <s v="1"/>
    <x v="10"/>
    <s v="PEPA      "/>
    <x v="1"/>
    <s v="Pistachos"/>
    <s v="Pistachos                                         "/>
    <n v="50"/>
    <n v="21.9"/>
    <n v="50"/>
    <n v="50"/>
    <n v="500"/>
    <x v="0"/>
    <s v="Pistachos_Garbi               "/>
    <s v="COA"/>
    <s v="FV E-00007-00000077"/>
    <s v="FV E-00007-00000077.pdf"/>
    <s v="RE R-00008-00003300"/>
    <s v="RE R-00008-00003300.pdf"/>
    <s v="SA"/>
    <n v="128856"/>
    <d v="2025-07-07T00:00:00"/>
    <s v="Gab_Hernandez"/>
    <n v="147250"/>
    <d v="2025-06-30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50"/>
    <n v="100"/>
  </r>
  <r>
    <n v="76193"/>
    <n v="1"/>
    <s v="1"/>
    <x v="11"/>
    <s v="PIST002   "/>
    <x v="2"/>
    <s v="Pistachos"/>
    <s v="Pistachos                                         "/>
    <n v="210"/>
    <n v="31.3"/>
    <n v="210"/>
    <n v="210"/>
    <n v="2100"/>
    <x v="0"/>
    <s v="Pistachos_Garbi               "/>
    <s v="COA"/>
    <s v="FV A-00006-00002708"/>
    <s v="FV A-00006-00002708.pdf"/>
    <s v="RE R-00008-00003297"/>
    <s v="RE R-00008-00003297.pdf"/>
    <s v="SA"/>
    <n v="128852"/>
    <d v="2025-07-07T00:00:00"/>
    <s v="Gab_Hernandez"/>
    <n v="147176"/>
    <d v="2025-06-30T00:00:00"/>
    <d v="2025-07-01T00:00:00"/>
    <d v="2025-07-04T00:00:00"/>
    <d v="2025-07-04T00:00:00"/>
    <d v="2025-07-04T00:00:00"/>
    <d v="2025-07-04T00:00:00"/>
    <d v="2025-07-04T00:00:00"/>
    <m/>
    <m/>
    <m/>
    <m/>
    <m/>
    <m/>
    <s v="Pistachos "/>
    <n v="210"/>
    <n v="420"/>
  </r>
  <r>
    <n v="76401"/>
    <n v="1"/>
    <s v="1"/>
    <x v="12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11"/>
    <s v="FV A-00006-00002711.pdf"/>
    <s v="RE R-00008-00003301"/>
    <s v="RE R-00008-00003301.pdf"/>
    <s v="SA"/>
    <n v="129153"/>
    <d v="2025-07-07T00:00:00"/>
    <s v="Gab_Hernandez"/>
    <n v="148403"/>
    <d v="2025-07-04T00:00:00"/>
    <d v="2025-07-04T00:00:00"/>
    <d v="2025-07-07T00:00:00"/>
    <d v="2025-07-07T00:00:00"/>
    <d v="2025-07-07T00:00:00"/>
    <d v="2025-07-07T00:00:00"/>
    <d v="2025-07-07T00:00:00"/>
    <m/>
    <m/>
    <m/>
    <m/>
    <m/>
    <m/>
    <s v="Pistachos "/>
    <n v="70"/>
    <n v="140"/>
  </r>
  <r>
    <n v="76402"/>
    <n v="1"/>
    <s v="1"/>
    <x v="13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10"/>
    <s v="FV A-00006-00002710.pdf"/>
    <s v="RE R-00008-00003299"/>
    <s v="RE R-00008-00003299.pdf"/>
    <s v="SA"/>
    <n v="129470"/>
    <d v="2025-07-08T00:00:00"/>
    <s v="Gab_Hernandez"/>
    <n v="148404"/>
    <d v="2025-07-04T00:00:00"/>
    <d v="2025-07-04T00:00:00"/>
    <d v="2025-07-07T00:00:00"/>
    <d v="2025-07-08T00:00:00"/>
    <d v="2025-07-08T00:00:00"/>
    <d v="2025-07-08T00:00:00"/>
    <d v="2025-07-08T00:00:00"/>
    <m/>
    <m/>
    <m/>
    <m/>
    <m/>
    <m/>
    <s v="Pistachos "/>
    <n v="70"/>
    <n v="140"/>
  </r>
  <r>
    <n v="76741"/>
    <n v="1"/>
    <s v="1"/>
    <x v="14"/>
    <s v="PEPA      "/>
    <x v="1"/>
    <s v="Pistachos"/>
    <s v="Pistachos                                         "/>
    <n v="70"/>
    <n v="31.3"/>
    <n v="70"/>
    <n v="70"/>
    <n v="700"/>
    <x v="0"/>
    <s v="Pistachos_Garbi               "/>
    <s v="COA"/>
    <s v="FV A-00006-00002722"/>
    <s v="FV A-00006-00002722.pdf"/>
    <s v="RE R-00008-00003325"/>
    <s v="RE R-00008-00003325.pdf"/>
    <s v="SA"/>
    <n v="130010"/>
    <d v="2025-07-14T00:00:00"/>
    <s v="Gab_Hernandez"/>
    <n v="149852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70"/>
    <n v="140"/>
  </r>
  <r>
    <n v="76736"/>
    <n v="1"/>
    <s v="1"/>
    <x v="15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21"/>
    <s v="FV A-00006-00002721.pdf"/>
    <s v="RE R-00008-00003324"/>
    <s v="RE R-00008-00003324.pdf"/>
    <s v="SA"/>
    <n v="130007"/>
    <d v="2025-07-14T00:00:00"/>
    <s v="Gab_Hernandez"/>
    <n v="149835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70"/>
    <n v="140"/>
  </r>
  <r>
    <n v="76733"/>
    <n v="1"/>
    <s v="1"/>
    <x v="3"/>
    <s v="PEPA      "/>
    <x v="1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720"/>
    <s v="FV A-00006-00002720.pdf"/>
    <s v="RE R-00008-00003323"/>
    <s v="RE R-00008-00003323.pdf"/>
    <s v="SA"/>
    <n v="129985"/>
    <d v="2025-07-14T00:00:00"/>
    <s v="Fer_Cristoforo"/>
    <n v="149828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140"/>
    <n v="280"/>
  </r>
  <r>
    <n v="76715"/>
    <n v="1"/>
    <s v="1"/>
    <x v="16"/>
    <s v="PEPA      "/>
    <x v="1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719"/>
    <s v="FV A-00006-00002719.pdf"/>
    <s v="RE R-00008-00003322"/>
    <s v="RE R-00008-00003322.pdf"/>
    <s v="SA"/>
    <n v="129975"/>
    <d v="2025-07-14T00:00:00"/>
    <s v="Gab_Hernandez"/>
    <n v="149758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140"/>
    <n v="280"/>
  </r>
  <r>
    <n v="76713"/>
    <n v="1"/>
    <s v="2"/>
    <x v="0"/>
    <s v="PEPA      "/>
    <x v="1"/>
    <s v="Pistachos"/>
    <s v="Pistachos                                         "/>
    <n v="70"/>
    <n v="30.35"/>
    <n v="70"/>
    <n v="70"/>
    <n v="700"/>
    <x v="0"/>
    <s v="Pistachos_Garbi               "/>
    <s v="COA"/>
    <s v="FV A-00090-00029820"/>
    <s v="FV A-00090-00029820.pdf"/>
    <s v="RE R-00008-00003330"/>
    <s v="RE R-00008-00003330.pdf"/>
    <s v="SA"/>
    <n v="129974"/>
    <d v="2025-07-25T00:00:00"/>
    <s v="Gab_Hernandez"/>
    <n v="149756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70"/>
    <n v="140"/>
  </r>
  <r>
    <n v="76705"/>
    <n v="1"/>
    <s v="1"/>
    <x v="17"/>
    <s v="PEPA      "/>
    <x v="1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716"/>
    <s v="FV A-00006-00002716(1).pdf"/>
    <s v="RE R-00008-00003319"/>
    <s v="RE R-00008-00003319.pdf"/>
    <s v="SA"/>
    <n v="129954"/>
    <d v="2025-07-14T00:00:00"/>
    <s v="Fer_Cristoforo"/>
    <n v="149712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140"/>
    <n v="280"/>
  </r>
  <r>
    <n v="76701"/>
    <n v="1"/>
    <s v="1"/>
    <x v="18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16"/>
    <s v="FV A-00006-00002716.pdf"/>
    <s v="RE R-00008-00003319"/>
    <s v="RE R-00008-00003319.pdf"/>
    <s v="SA"/>
    <n v="129943"/>
    <d v="2025-07-14T00:00:00"/>
    <s v="Gab_Hernandez"/>
    <n v="149683"/>
    <d v="2025-07-14T00:00:00"/>
    <d v="2025-07-14T00:00:00"/>
    <d v="2025-07-14T00:00:00"/>
    <d v="2025-07-14T00:00:00"/>
    <d v="2025-07-14T00:00:00"/>
    <d v="2025-07-14T00:00:00"/>
    <d v="2025-07-14T00:00:00"/>
    <m/>
    <m/>
    <m/>
    <m/>
    <m/>
    <m/>
    <s v="Pistachos "/>
    <n v="70"/>
    <n v="140"/>
  </r>
  <r>
    <n v="76785"/>
    <n v="1"/>
    <s v="1"/>
    <x v="19"/>
    <s v="PEPA      "/>
    <x v="1"/>
    <s v="Pistachos"/>
    <s v="Pistachos                                         "/>
    <n v="70"/>
    <n v="29.7"/>
    <n v="70"/>
    <n v="70"/>
    <n v="700"/>
    <x v="0"/>
    <s v="Pistachos_Garbi               "/>
    <s v="COA"/>
    <s v="FV A-00006-00002726"/>
    <s v="FV A-00006-00002726.pdf"/>
    <s v="RE R-00008-00003329"/>
    <s v="RE R-00008-00003329.pdf"/>
    <s v="SA"/>
    <n v="130191"/>
    <d v="2025-07-15T00:00:00"/>
    <s v="Fer_Cristoforo"/>
    <n v="150094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70"/>
    <n v="140"/>
  </r>
  <r>
    <n v="76756"/>
    <n v="1"/>
    <s v="1"/>
    <x v="20"/>
    <s v="PEPA      "/>
    <x v="1"/>
    <s v="Pistachos"/>
    <s v="Pistachos                                         "/>
    <n v="50"/>
    <n v="31.3"/>
    <n v="50"/>
    <n v="50"/>
    <n v="500"/>
    <x v="0"/>
    <s v="Pistachos_Garbi               "/>
    <s v="COA"/>
    <s v="FV A-00006-00002725"/>
    <s v="FV A-00006-00002725.pdf"/>
    <s v="RE R-00008-00003328"/>
    <s v="RE R-00008-00003328.pdf"/>
    <s v="SA"/>
    <n v="130043"/>
    <d v="2025-07-15T00:00:00"/>
    <s v="Gab_Hernandez"/>
    <n v="149882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50"/>
    <n v="100"/>
  </r>
  <r>
    <n v="76746"/>
    <n v="1"/>
    <s v="2"/>
    <x v="21"/>
    <s v="PEPA      "/>
    <x v="1"/>
    <s v="Pistachos"/>
    <s v="Pistachos                                         "/>
    <n v="70"/>
    <n v="30.35"/>
    <n v="70"/>
    <n v="70"/>
    <n v="700"/>
    <x v="0"/>
    <s v="Pistachos_Garbi               "/>
    <s v="COA"/>
    <s v="FV B-00090-00003711"/>
    <s v="FV B-00090-00003711.pdf"/>
    <s v="RE R-00008-00003339"/>
    <s v="RE R-00008-00003339.pdf"/>
    <s v="SA"/>
    <n v="130015"/>
    <d v="2025-07-25T00:00:00"/>
    <s v="Gab_Hernandez"/>
    <n v="149864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70"/>
    <n v="140"/>
  </r>
  <r>
    <n v="76745"/>
    <n v="1"/>
    <s v="2"/>
    <x v="6"/>
    <s v="PEPA      "/>
    <x v="1"/>
    <s v="Pistachos"/>
    <s v="Pistachos                                         "/>
    <n v="70"/>
    <n v="30.35"/>
    <n v="70"/>
    <n v="70"/>
    <n v="700"/>
    <x v="0"/>
    <s v="Pistachos_Garbi               "/>
    <s v="COA"/>
    <s v="FV A-00090-00029940"/>
    <s v="FV A-00090-00029940.pdf"/>
    <s v="RE R-00008-00003350"/>
    <s v="RE R-00008-00003350.pdf"/>
    <s v="SA"/>
    <n v="130014"/>
    <d v="2025-07-25T00:00:00"/>
    <s v="Gab_Hernandez"/>
    <n v="149862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70"/>
    <n v="140"/>
  </r>
  <r>
    <n v="76745"/>
    <n v="2"/>
    <s v="2"/>
    <x v="6"/>
    <s v="TOST      "/>
    <x v="0"/>
    <s v="Pistachos"/>
    <s v="Pistachos                                         "/>
    <n v="70"/>
    <n v="17.2"/>
    <n v="70"/>
    <n v="70"/>
    <n v="700"/>
    <x v="0"/>
    <s v="Pistachos_Garbi               "/>
    <s v="COA"/>
    <s v="FV A-00090-00029866"/>
    <s v="FV A-00090-00029866.pdf"/>
    <s v="RE R-00008-00003344"/>
    <s v="RE R-00008-00003344.pdf"/>
    <s v="SA"/>
    <n v="130013"/>
    <d v="2025-07-25T00:00:00"/>
    <s v="Gab_Hernandez"/>
    <n v="149863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70"/>
    <n v="140"/>
  </r>
  <r>
    <n v="76744"/>
    <n v="1"/>
    <s v="2"/>
    <x v="22"/>
    <s v="PEPA      "/>
    <x v="1"/>
    <s v="Pistachos"/>
    <s v="Pistachos                                         "/>
    <n v="210"/>
    <n v="26.45"/>
    <n v="210"/>
    <n v="210"/>
    <n v="2100"/>
    <x v="0"/>
    <s v="Pistachos_Garbi               "/>
    <s v="COA"/>
    <s v="FV A-00090-00029850"/>
    <s v="FV A-00090-00029850.pdf"/>
    <s v="RE R-00008-00003340"/>
    <s v="RE R-00008-00003340.pdf"/>
    <s v="SA"/>
    <n v="130012"/>
    <d v="2025-07-25T00:00:00"/>
    <s v="Gab_Hernandez"/>
    <n v="149861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210"/>
    <n v="420"/>
  </r>
  <r>
    <n v="76743"/>
    <n v="1"/>
    <s v="1"/>
    <x v="22"/>
    <s v="PEPA      "/>
    <x v="1"/>
    <s v="Pistachos"/>
    <s v="Pistachos                                         "/>
    <n v="210"/>
    <n v="27.3"/>
    <n v="210"/>
    <n v="210"/>
    <n v="2100"/>
    <x v="0"/>
    <s v="Pistachos_Garbi               "/>
    <s v="COA"/>
    <s v="FV A-00006-00002723"/>
    <s v="FV A-00006-00002723.pdf"/>
    <s v="RE R-00008-00003326"/>
    <s v="RE R-00008-00003326.pdf"/>
    <s v="SA"/>
    <n v="130011"/>
    <d v="2025-07-15T00:00:00"/>
    <s v="Gab_Hernandez"/>
    <n v="149860"/>
    <d v="2025-07-15T00:00:00"/>
    <d v="2025-07-15T00:00:00"/>
    <d v="2025-07-15T00:00:00"/>
    <d v="2025-07-15T00:00:00"/>
    <d v="2025-07-15T00:00:00"/>
    <d v="2025-07-15T00:00:00"/>
    <d v="2025-07-15T00:00:00"/>
    <m/>
    <m/>
    <m/>
    <m/>
    <m/>
    <m/>
    <s v="Pistachos "/>
    <n v="210"/>
    <n v="420"/>
  </r>
  <r>
    <n v="77181"/>
    <n v="1"/>
    <s v="1"/>
    <x v="19"/>
    <s v="PEPA      "/>
    <x v="1"/>
    <s v="Pistachos"/>
    <s v="Pistachos                                         "/>
    <n v="70"/>
    <n v="29.7"/>
    <n v="70"/>
    <n v="70"/>
    <n v="700"/>
    <x v="0"/>
    <s v="Pistachos_Garbi               "/>
    <s v="COA"/>
    <s v="FV A-00006-00002726"/>
    <s v="FV A-00006-00002726(1).pdf"/>
    <s v="RE R-00008-00003329"/>
    <s v="RE R-00008-00003329.pdf"/>
    <s v="SA"/>
    <n v="132040"/>
    <d v="2025-07-25T00:00:00"/>
    <s v="Fer_Cristoforo"/>
    <n v="152186"/>
    <d v="2025-07-25T00:00:00"/>
    <d v="2025-07-25T00:00:00"/>
    <d v="2025-07-25T00:00:00"/>
    <d v="2025-07-25T00:00:00"/>
    <d v="2025-07-25T00:00:00"/>
    <d v="2025-07-25T00:00:00"/>
    <d v="2025-07-25T00:00:00"/>
    <m/>
    <m/>
    <m/>
    <m/>
    <m/>
    <m/>
    <s v="Pistachos "/>
    <n v="70"/>
    <n v="140"/>
  </r>
  <r>
    <n v="76804"/>
    <n v="1"/>
    <s v="1"/>
    <x v="1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33"/>
    <s v="FV A-00006-00002733.pdf"/>
    <s v="RE R-00008-00000337"/>
    <s v="RE R-00008-00000337.pdf"/>
    <s v="SA"/>
    <n v="132023"/>
    <d v="2025-07-25T00:00:00"/>
    <s v="Gab_Hernandez"/>
    <n v="150213"/>
    <d v="2025-07-16T00:00:00"/>
    <d v="2025-07-16T00:00:00"/>
    <d v="2025-07-25T00:00:00"/>
    <d v="2025-07-25T00:00:00"/>
    <d v="2025-07-25T00:00:00"/>
    <d v="2025-07-25T00:00:00"/>
    <d v="2025-07-25T00:00:00"/>
    <m/>
    <m/>
    <m/>
    <m/>
    <m/>
    <m/>
    <s v="Pistachos "/>
    <n v="70"/>
    <n v="140"/>
  </r>
  <r>
    <n v="76803"/>
    <n v="1"/>
    <s v="1"/>
    <x v="23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30"/>
    <s v="FV A-00006-00002730.pdf"/>
    <s v="RE R-00008-00003334"/>
    <s v="RE R-00008-00003334.pdf"/>
    <s v="SA"/>
    <n v="132022"/>
    <d v="2025-07-25T00:00:00"/>
    <s v="Gab_Hernandez"/>
    <n v="150212"/>
    <d v="2025-07-16T00:00:00"/>
    <d v="2025-07-16T00:00:00"/>
    <d v="2025-07-25T00:00:00"/>
    <d v="2025-07-25T00:00:00"/>
    <d v="2025-07-25T00:00:00"/>
    <d v="2025-07-25T00:00:00"/>
    <d v="2025-07-25T00:00:00"/>
    <m/>
    <m/>
    <m/>
    <m/>
    <m/>
    <m/>
    <s v="Pistachos "/>
    <n v="70"/>
    <n v="140"/>
  </r>
  <r>
    <n v="76802"/>
    <n v="1"/>
    <s v="1"/>
    <x v="24"/>
    <s v="TOST      "/>
    <x v="0"/>
    <s v="Pistachos"/>
    <s v="Pistachos                                         "/>
    <n v="210"/>
    <n v="17.75"/>
    <n v="210"/>
    <n v="210"/>
    <n v="2100"/>
    <x v="0"/>
    <s v="Pistachos_Garbi               "/>
    <s v="COA"/>
    <s v="FV A-00006-00002729"/>
    <s v="FV A-00006-00002729.pdf"/>
    <s v="RE R-00008-00003333"/>
    <s v="RE R-00008-00003333.pdf"/>
    <s v="SA"/>
    <n v="131995"/>
    <d v="2025-07-25T00:00:00"/>
    <s v="Gab_Hernandez"/>
    <n v="150211"/>
    <d v="2025-07-16T00:00:00"/>
    <d v="2025-07-16T00:00:00"/>
    <d v="2025-07-25T00:00:00"/>
    <d v="2025-07-25T00:00:00"/>
    <d v="2025-07-25T00:00:00"/>
    <d v="2025-07-25T00:00:00"/>
    <d v="2025-07-25T00:00:00"/>
    <m/>
    <m/>
    <m/>
    <m/>
    <m/>
    <m/>
    <s v="Pistachos "/>
    <n v="210"/>
    <n v="420"/>
  </r>
  <r>
    <n v="77591"/>
    <n v="1"/>
    <s v="1"/>
    <x v="25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734"/>
    <s v="FV A-00006-00002734.pdf"/>
    <s v="RE R-00008-00003342"/>
    <s v="RE R-00008-00003342.pdf"/>
    <s v="SA"/>
    <n v="133937"/>
    <d v="2025-08-07T00:00:00"/>
    <s v="Gab_Hernandez"/>
    <n v="154406"/>
    <d v="2025-08-07T00:00:00"/>
    <d v="2025-08-07T00:00:00"/>
    <d v="2025-08-07T00:00:00"/>
    <d v="2025-08-07T00:00:00"/>
    <d v="2025-08-07T00:00:00"/>
    <d v="2025-08-07T00:00:00"/>
    <d v="2025-08-07T00:00:00"/>
    <m/>
    <m/>
    <m/>
    <m/>
    <m/>
    <m/>
    <s v="Pistachos "/>
    <n v="70"/>
    <n v="140"/>
  </r>
  <r>
    <n v="77590"/>
    <n v="1"/>
    <s v="2"/>
    <x v="26"/>
    <s v="TOST      "/>
    <x v="0"/>
    <s v="Pistachos"/>
    <s v="Pistachos                                         "/>
    <n v="70"/>
    <n v="17.2"/>
    <n v="70"/>
    <n v="70"/>
    <n v="700"/>
    <x v="0"/>
    <s v="Pistachos_Garbi               "/>
    <s v="COA"/>
    <s v="FV B-00090-00003712"/>
    <s v="FV B-00090-00003712.pdf"/>
    <s v="RE R-00008-00003347"/>
    <s v="RE R-00008-00003347.pdf"/>
    <s v="SA"/>
    <n v="133938"/>
    <d v="2025-08-07T00:00:00"/>
    <s v="Gab_Hernandez"/>
    <n v="154405"/>
    <d v="2025-08-07T00:00:00"/>
    <d v="2025-08-07T00:00:00"/>
    <d v="2025-08-07T00:00:00"/>
    <d v="2025-08-07T00:00:00"/>
    <d v="2025-08-07T00:00:00"/>
    <d v="2025-08-07T00:00:00"/>
    <d v="2025-08-07T00:00:00"/>
    <m/>
    <m/>
    <m/>
    <m/>
    <m/>
    <m/>
    <s v="Pistachos "/>
    <n v="70"/>
    <n v="140"/>
  </r>
  <r>
    <n v="77582"/>
    <n v="1"/>
    <s v="1"/>
    <x v="27"/>
    <s v="PEPA      "/>
    <x v="1"/>
    <s v="Pistachos"/>
    <s v="Pistachos                                         "/>
    <n v="60"/>
    <n v="36"/>
    <n v="60"/>
    <n v="60"/>
    <n v="600"/>
    <x v="0"/>
    <s v="Pistachos_Garbi               "/>
    <s v="COA"/>
    <s v="FV A-00006-00002751"/>
    <s v="FV A-00006-00002751.pdf"/>
    <s v="RE R-00008-00003367"/>
    <s v="RE R-00008-00003367.pdf"/>
    <s v="SA"/>
    <n v="133896"/>
    <d v="2025-08-07T00:00:00"/>
    <s v="Gab_Hernandez"/>
    <n v="154374"/>
    <d v="2025-08-06T00:00:00"/>
    <d v="2025-08-06T00:00:00"/>
    <d v="2025-08-06T00:00:00"/>
    <d v="2025-08-06T00:00:00"/>
    <d v="2025-08-06T00:00:00"/>
    <d v="2025-08-07T00:00:00"/>
    <d v="2025-08-07T00:00:00"/>
    <m/>
    <m/>
    <m/>
    <m/>
    <m/>
    <m/>
    <s v="Pistachos "/>
    <n v="60"/>
    <n v="120"/>
  </r>
  <r>
    <n v="77581"/>
    <n v="1"/>
    <s v="1"/>
    <x v="28"/>
    <s v="PEPA      "/>
    <x v="1"/>
    <s v="Pistachos"/>
    <s v="Pistachos                                         "/>
    <n v="70"/>
    <n v="36"/>
    <n v="70"/>
    <n v="70"/>
    <n v="700"/>
    <x v="0"/>
    <s v="Pistachos_Garbi               "/>
    <s v="COA"/>
    <s v="FV A-00006-00002748"/>
    <s v="FV A-00006-00002748.pdf"/>
    <s v="RE R-00008-00003364"/>
    <s v="RE R-00008-00003364.pdf"/>
    <s v="SA"/>
    <n v="133897"/>
    <d v="2025-08-07T00:00:00"/>
    <s v="Gab_Hernandez"/>
    <n v="154373"/>
    <d v="2025-08-06T00:00:00"/>
    <d v="2025-08-06T00:00:00"/>
    <d v="2025-08-06T00:00:00"/>
    <d v="2025-08-06T00:00:00"/>
    <d v="2025-08-06T00:00:00"/>
    <d v="2025-08-07T00:00:00"/>
    <d v="2025-08-07T00:00:00"/>
    <m/>
    <m/>
    <m/>
    <m/>
    <m/>
    <m/>
    <s v="Pistachos "/>
    <n v="70"/>
    <n v="140"/>
  </r>
  <r>
    <n v="77580"/>
    <n v="1"/>
    <s v="1"/>
    <x v="29"/>
    <s v="PEPA      "/>
    <x v="1"/>
    <s v="Pistachos"/>
    <s v="Pistachos                                         "/>
    <n v="70"/>
    <n v="37"/>
    <n v="70"/>
    <n v="70"/>
    <n v="700"/>
    <x v="0"/>
    <s v="Pistachos_Garbi               "/>
    <s v="COA"/>
    <s v="FV A-00006-00002747"/>
    <s v="FV A-00006-00002747.pdf"/>
    <s v="RE R-00008-00003363"/>
    <s v="RE R-00008-00003363.pdf"/>
    <s v="SA"/>
    <n v="133899"/>
    <d v="2025-08-07T00:00:00"/>
    <s v="Gab_Hernandez"/>
    <n v="154372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70"/>
    <n v="140"/>
  </r>
  <r>
    <n v="77579"/>
    <n v="1"/>
    <s v="1"/>
    <x v="30"/>
    <s v="PEPA      "/>
    <x v="1"/>
    <s v="Pistachos"/>
    <s v="Pistachos                                         "/>
    <n v="70"/>
    <n v="37"/>
    <n v="70"/>
    <n v="70"/>
    <n v="700"/>
    <x v="0"/>
    <s v="Pistachos_Garbi               "/>
    <s v="COA"/>
    <s v="FV A-00006-00002746"/>
    <s v="FV A-00006-00002746.pdf"/>
    <s v="RE R-00008-00003362"/>
    <s v="RE R-00008-00003362.pdf"/>
    <s v="SA"/>
    <n v="133898"/>
    <d v="2025-08-07T00:00:00"/>
    <s v="Gab_Hernandez"/>
    <n v="154371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70"/>
    <n v="140"/>
  </r>
  <r>
    <n v="77576"/>
    <n v="1"/>
    <s v="1"/>
    <x v="31"/>
    <s v="PEPA      "/>
    <x v="1"/>
    <s v="Pistachos"/>
    <s v="Pistachos                                         "/>
    <n v="70"/>
    <n v="37"/>
    <n v="70"/>
    <n v="70"/>
    <n v="700"/>
    <x v="0"/>
    <s v="Pistachos_Garbi               "/>
    <s v="COA"/>
    <s v="FV A-00006-00002745"/>
    <s v="FV A-00006-00002745.pdf"/>
    <s v="RE R-00008-00003361"/>
    <s v="RE R-00008-00003361.pdf"/>
    <s v="SA"/>
    <n v="133900"/>
    <d v="2025-08-07T00:00:00"/>
    <s v="Gab_Hernandez"/>
    <n v="154336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70"/>
    <n v="140"/>
  </r>
  <r>
    <n v="77574"/>
    <n v="1"/>
    <s v="1"/>
    <x v="32"/>
    <s v="PEPA      "/>
    <x v="1"/>
    <s v="Pistachos"/>
    <s v="Pistachos                                         "/>
    <n v="140"/>
    <n v="37"/>
    <n v="140"/>
    <n v="140"/>
    <n v="1400"/>
    <x v="0"/>
    <s v="Pistachos_Garbi               "/>
    <s v="COA"/>
    <s v="FV A-00006-00002743"/>
    <s v="FV A-00006-00002743.pdf"/>
    <s v="RE R-00008-00003359"/>
    <s v="RE R-00008-00003359.pdf"/>
    <s v="SA"/>
    <n v="133901"/>
    <d v="2025-08-07T00:00:00"/>
    <s v="Gab_Hernandez"/>
    <n v="154332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140"/>
    <n v="280"/>
  </r>
  <r>
    <n v="77571"/>
    <n v="1"/>
    <s v="2"/>
    <x v="33"/>
    <s v="PEPA      "/>
    <x v="1"/>
    <s v="Pistachos"/>
    <s v="Pistachos                                         "/>
    <n v="210"/>
    <n v="35.89"/>
    <n v="210"/>
    <n v="210"/>
    <n v="2100"/>
    <x v="0"/>
    <s v="Pistachos_Garbi               "/>
    <s v="COA"/>
    <s v="FV A-00090-00030102"/>
    <s v="FV A-00090-00030102.pdf"/>
    <s v="RE R-00008-00003368"/>
    <s v="RE R-00008-00003368.pdf"/>
    <s v="SA"/>
    <n v="133902"/>
    <d v="2025-08-07T00:00:00"/>
    <s v="Gab_Hernandez"/>
    <n v="154313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210"/>
    <n v="420"/>
  </r>
  <r>
    <n v="77570"/>
    <n v="1"/>
    <s v="1"/>
    <x v="33"/>
    <s v="PEPA      "/>
    <x v="1"/>
    <s v="Pistachos"/>
    <s v="Pistachos                                         "/>
    <n v="140"/>
    <n v="37"/>
    <n v="140"/>
    <n v="140"/>
    <n v="1400"/>
    <x v="0"/>
    <s v="Pistachos_Garbi               "/>
    <s v="COA"/>
    <s v="FV A-00006-00002742"/>
    <s v="FV A-00006-00002742.pdf"/>
    <s v="RE R-00008-00003358"/>
    <s v="RE R-00008-00003358.pdf"/>
    <s v="SA"/>
    <n v="133903"/>
    <d v="2025-08-07T00:00:00"/>
    <s v="Gab_Hernandez"/>
    <n v="154312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140"/>
    <n v="280"/>
  </r>
  <r>
    <n v="77569"/>
    <n v="1"/>
    <s v="1"/>
    <x v="11"/>
    <s v="PEPA      "/>
    <x v="1"/>
    <s v="Pistachos"/>
    <s v="Pistachos                                         "/>
    <n v="420"/>
    <n v="31.3"/>
    <n v="420"/>
    <n v="420"/>
    <n v="4200"/>
    <x v="0"/>
    <s v="Pistachos_Garbi               "/>
    <s v="COA"/>
    <s v="FV A-00006-00002741"/>
    <s v="FV A-00006-00002741.pdf"/>
    <s v="RE R-00008-00003356"/>
    <s v="RE R-00008-00003356.pdf"/>
    <s v="SA"/>
    <n v="133904"/>
    <d v="2025-08-07T00:00:00"/>
    <s v="Gab_Hernandez"/>
    <n v="154311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420"/>
    <n v="840"/>
  </r>
  <r>
    <n v="77568"/>
    <n v="1"/>
    <s v="2"/>
    <x v="22"/>
    <s v="PEPA      "/>
    <x v="1"/>
    <s v="Pistachos"/>
    <s v="Pistachos                                         "/>
    <n v="210"/>
    <n v="27.15"/>
    <n v="210"/>
    <n v="210"/>
    <n v="2100"/>
    <x v="0"/>
    <s v="Pistachos_Garbi               "/>
    <s v="COA"/>
    <s v="FV A-00006-00002755"/>
    <s v="FV A-00006-00002755(1).pdf"/>
    <s v="RE R-00008-00003373"/>
    <s v="RE R-00008-00003373.pdf"/>
    <s v="SA"/>
    <n v="133905"/>
    <d v="2025-08-12T00:00:00"/>
    <s v="Gab_Hernandez"/>
    <n v="154310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210"/>
    <n v="420"/>
  </r>
  <r>
    <n v="77567"/>
    <n v="1"/>
    <s v="1"/>
    <x v="22"/>
    <s v="PEPA      "/>
    <x v="1"/>
    <s v="Pistachos"/>
    <s v="Pistachos                                         "/>
    <n v="210"/>
    <n v="28"/>
    <n v="210"/>
    <n v="210"/>
    <n v="2100"/>
    <x v="0"/>
    <s v="Pistachos_Garbi               "/>
    <s v="COA"/>
    <s v="FV A-00006-00002750"/>
    <s v="FV A-00006-00002750.pdf"/>
    <s v="RE R-00008-00003366"/>
    <s v="RE R-00008-00003366.pdf"/>
    <s v="SA"/>
    <n v="133906"/>
    <d v="2025-08-07T00:00:00"/>
    <s v="Gab_Hernandez"/>
    <n v="154309"/>
    <d v="2025-08-06T00:00:00"/>
    <d v="2025-08-06T00:00:00"/>
    <d v="2025-08-07T00:00:00"/>
    <d v="2025-08-07T00:00:00"/>
    <d v="2025-08-07T00:00:00"/>
    <d v="2025-08-07T00:00:00"/>
    <d v="2025-08-07T00:00:00"/>
    <m/>
    <m/>
    <m/>
    <m/>
    <m/>
    <m/>
    <s v="Pistachos "/>
    <n v="210"/>
    <n v="420"/>
  </r>
  <r>
    <n v="77694"/>
    <n v="2"/>
    <s v="1"/>
    <x v="34"/>
    <s v="TOST      "/>
    <x v="0"/>
    <s v="Pistachos"/>
    <s v="Pistachos                                         "/>
    <n v="115"/>
    <n v="14.75"/>
    <n v="115"/>
    <n v="115"/>
    <n v="1150"/>
    <x v="0"/>
    <s v="Pistachos_Garbi               "/>
    <s v="COA"/>
    <s v="FV A-00060-00002688"/>
    <s v="FV A-00060-00002688(1).pdf"/>
    <s v="RE R-00008-00003266"/>
    <s v="RE R-00008-00003266.pdf"/>
    <s v="SA"/>
    <n v="134327"/>
    <d v="2025-08-11T00:00:00"/>
    <s v="Gab_Hernandez"/>
    <n v="154703"/>
    <d v="2025-08-08T00:00:00"/>
    <d v="2025-08-08T00:00:00"/>
    <d v="2025-08-11T00:00:00"/>
    <d v="2025-08-11T00:00:00"/>
    <d v="2025-08-11T00:00:00"/>
    <d v="2025-08-11T00:00:00"/>
    <d v="2025-08-11T00:00:00"/>
    <m/>
    <m/>
    <m/>
    <m/>
    <m/>
    <m/>
    <s v="Pistachos "/>
    <n v="115"/>
    <n v="230"/>
  </r>
  <r>
    <n v="77694"/>
    <n v="1"/>
    <s v="1"/>
    <x v="34"/>
    <s v="PEPA      "/>
    <x v="1"/>
    <s v="Pistachos"/>
    <s v="Pistachos                                         "/>
    <n v="33"/>
    <n v="26.3"/>
    <n v="33"/>
    <n v="33"/>
    <n v="330"/>
    <x v="0"/>
    <s v="Pistachos_Garbi               "/>
    <s v="COA"/>
    <s v="FV A-00060-00002688"/>
    <s v="FV A-00060-00002688.pdf"/>
    <s v="RE R-00008-00003266"/>
    <s v="RE R-00008-00003266.pdf"/>
    <s v="SA"/>
    <n v="134330"/>
    <d v="2025-08-11T00:00:00"/>
    <s v="Gab_Hernandez"/>
    <n v="154702"/>
    <d v="2025-08-08T00:00:00"/>
    <d v="2025-08-11T00:00:00"/>
    <d v="2025-08-11T00:00:00"/>
    <d v="2025-08-11T00:00:00"/>
    <d v="2025-08-11T00:00:00"/>
    <d v="2025-08-11T00:00:00"/>
    <d v="2025-08-11T00:00:00"/>
    <m/>
    <m/>
    <m/>
    <m/>
    <m/>
    <m/>
    <s v="Pistachos "/>
    <n v="33"/>
    <n v="66"/>
  </r>
  <r>
    <n v="77693"/>
    <n v="1"/>
    <s v="1"/>
    <x v="35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96"/>
    <s v="FV A-00006-00002696.pdf"/>
    <s v="RE R-00008-00003277"/>
    <s v="RE R-00008-00003277.pdf"/>
    <s v="SA"/>
    <n v="134334"/>
    <d v="2025-08-11T00:00:00"/>
    <s v="Gab_Hernandez"/>
    <n v="154701"/>
    <d v="2025-08-08T00:00:00"/>
    <d v="2025-08-08T00:00:00"/>
    <d v="2025-08-11T00:00:00"/>
    <d v="2025-08-11T00:00:00"/>
    <d v="2025-08-11T00:00:00"/>
    <d v="2025-08-11T00:00:00"/>
    <d v="2025-08-11T00:00:00"/>
    <m/>
    <m/>
    <m/>
    <m/>
    <m/>
    <m/>
    <s v="Pistachos "/>
    <n v="70"/>
    <n v="140"/>
  </r>
  <r>
    <n v="77692"/>
    <n v="1"/>
    <s v="1"/>
    <x v="36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97"/>
    <s v="FV A-00006-00002697.pdf"/>
    <s v="RE R-00008-00003278"/>
    <s v="RE R-00008-00003278.pdf"/>
    <s v="SA"/>
    <n v="134341"/>
    <d v="2025-08-11T00:00:00"/>
    <s v="Gab_Hernandez"/>
    <n v="154700"/>
    <d v="2025-08-08T00:00:00"/>
    <d v="2025-08-08T00:00:00"/>
    <d v="2025-08-11T00:00:00"/>
    <d v="2025-08-11T00:00:00"/>
    <d v="2025-08-11T00:00:00"/>
    <d v="2025-08-11T00:00:00"/>
    <d v="2025-08-11T00:00:00"/>
    <m/>
    <m/>
    <m/>
    <m/>
    <m/>
    <m/>
    <s v="Pistachos "/>
    <n v="70"/>
    <n v="140"/>
  </r>
  <r>
    <n v="77414"/>
    <n v="1"/>
    <s v="1"/>
    <x v="20"/>
    <s v="PEPATOS   "/>
    <x v="3"/>
    <s v="Pistachos"/>
    <s v="Pistachos                                         "/>
    <n v="20"/>
    <n v="26.9"/>
    <n v="20"/>
    <n v="20"/>
    <n v="200"/>
    <x v="0"/>
    <s v="Pistachos_Garbi               "/>
    <s v="COA"/>
    <s v="FV A-00006-00002628"/>
    <s v="FV A-00006-00002628(2).pdf"/>
    <s v="RE R-00008-00003193"/>
    <s v="RE R-00008-00003193.pdf"/>
    <s v="SA"/>
    <n v="134333"/>
    <d v="2025-08-11T00:00:00"/>
    <s v="Gab_Hernandez"/>
    <n v="153397"/>
    <d v="2025-08-01T00:00:00"/>
    <d v="2025-08-01T00:00:00"/>
    <d v="2025-08-07T00:00:00"/>
    <d v="2025-08-11T00:00:00"/>
    <d v="2025-08-11T00:00:00"/>
    <d v="2025-08-11T00:00:00"/>
    <d v="2025-08-11T00:00:00"/>
    <m/>
    <m/>
    <m/>
    <m/>
    <m/>
    <m/>
    <s v="Pistachos "/>
    <n v="20"/>
    <n v="40"/>
  </r>
  <r>
    <n v="77414"/>
    <n v="2"/>
    <s v="1"/>
    <x v="20"/>
    <s v="PEPA      "/>
    <x v="1"/>
    <s v="Pistachos"/>
    <s v="Pistachos                                         "/>
    <n v="15"/>
    <n v="26.3"/>
    <n v="15"/>
    <n v="15"/>
    <n v="150"/>
    <x v="0"/>
    <s v="Pistachos_Garbi               "/>
    <s v="COA"/>
    <s v="FV A-00006-00002628"/>
    <s v="FV A-00006-00002628(1).pdf"/>
    <s v="RE R-00008-00003193"/>
    <s v="RE R-00008-00003193.pdf"/>
    <s v="SA"/>
    <n v="134332"/>
    <d v="2025-08-11T00:00:00"/>
    <s v="Gab_Hernandez"/>
    <n v="153406"/>
    <d v="2025-08-01T00:00:00"/>
    <d v="2025-08-01T00:00:00"/>
    <d v="2025-08-07T00:00:00"/>
    <d v="2025-08-11T00:00:00"/>
    <d v="2025-08-11T00:00:00"/>
    <d v="2025-08-11T00:00:00"/>
    <d v="2025-08-11T00:00:00"/>
    <m/>
    <m/>
    <m/>
    <m/>
    <m/>
    <m/>
    <s v="Pistachos "/>
    <n v="15"/>
    <n v="30"/>
  </r>
  <r>
    <n v="77414"/>
    <n v="3"/>
    <s v="1"/>
    <x v="20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28"/>
    <s v="FV A-00006-00002628.pdf"/>
    <s v="RE R-00008-00003193"/>
    <s v="RE R-00008-00003193.pdf"/>
    <s v="SA"/>
    <n v="134331"/>
    <d v="2025-08-11T00:00:00"/>
    <s v="Gab_Hernandez"/>
    <n v="153407"/>
    <d v="2025-08-01T00:00:00"/>
    <d v="2025-08-01T00:00:00"/>
    <d v="2025-08-07T00:00:00"/>
    <d v="2025-08-11T00:00:00"/>
    <d v="2025-08-11T00:00:00"/>
    <d v="2025-08-11T00:00:00"/>
    <d v="2025-08-11T00:00:00"/>
    <m/>
    <m/>
    <m/>
    <m/>
    <m/>
    <m/>
    <s v="Pistachos "/>
    <n v="70"/>
    <n v="140"/>
  </r>
  <r>
    <n v="77767"/>
    <n v="1"/>
    <s v="1"/>
    <x v="22"/>
    <s v="PIST002   "/>
    <x v="2"/>
    <s v="Pistachos"/>
    <s v="Pistachos                                         "/>
    <n v="210"/>
    <n v="28"/>
    <n v="210"/>
    <n v="210"/>
    <n v="2100"/>
    <x v="0"/>
    <s v="Pistachos_Garbi               "/>
    <s v="COA"/>
    <s v="FV A-00006-00002755"/>
    <s v="FV A-00006-00002755.pdf"/>
    <s v="RE R-00008-00003373"/>
    <s v="RE R-00008-00003373.pdf"/>
    <s v="SA"/>
    <n v="134555"/>
    <d v="2025-08-12T00:00:00"/>
    <s v="Gab_Hernandez"/>
    <n v="155023"/>
    <d v="2025-08-12T00:00:00"/>
    <d v="2025-08-12T00:00:00"/>
    <d v="2025-08-12T00:00:00"/>
    <d v="2025-08-12T00:00:00"/>
    <d v="2025-08-12T00:00:00"/>
    <d v="2025-08-12T00:00:00"/>
    <d v="2025-08-12T00:00:00"/>
    <m/>
    <m/>
    <m/>
    <m/>
    <m/>
    <m/>
    <s v="Pistachos "/>
    <n v="210"/>
    <n v="420"/>
  </r>
  <r>
    <n v="77754"/>
    <n v="2"/>
    <s v="2"/>
    <x v="5"/>
    <s v="PEPA      "/>
    <x v="1"/>
    <s v="Pistachos"/>
    <s v="Pistachos                                         "/>
    <n v="20"/>
    <n v="35.89"/>
    <n v="20"/>
    <n v="20"/>
    <n v="200"/>
    <x v="0"/>
    <s v="Pistachos_Garbi               "/>
    <s v="COA"/>
    <s v="FV B-00090-00003766"/>
    <s v="FV B-00090-00003766.pdf"/>
    <s v="RE R-00008-00003372"/>
    <s v="RE R-00008-00003372.pdf"/>
    <s v="SA"/>
    <n v="134471"/>
    <d v="2025-08-12T00:00:00"/>
    <s v="Gab_Hernandez"/>
    <n v="155000"/>
    <d v="2025-08-12T00:00:00"/>
    <d v="2025-08-12T00:00:00"/>
    <d v="2025-08-12T00:00:00"/>
    <d v="2025-08-12T00:00:00"/>
    <d v="2025-08-12T00:00:00"/>
    <d v="2025-08-12T00:00:00"/>
    <d v="2025-08-12T00:00:00"/>
    <m/>
    <m/>
    <m/>
    <m/>
    <m/>
    <m/>
    <s v="Pistachos "/>
    <n v="20"/>
    <n v="40"/>
  </r>
  <r>
    <n v="77754"/>
    <n v="1"/>
    <s v="2"/>
    <x v="5"/>
    <s v="TOST      "/>
    <x v="0"/>
    <s v="Pistachos"/>
    <s v="Pistachos                                         "/>
    <n v="20"/>
    <n v="20.149999999999999"/>
    <n v="20"/>
    <n v="20"/>
    <n v="200"/>
    <x v="0"/>
    <s v="Pistachos_Garbi               "/>
    <s v="COA"/>
    <s v="FV B-00090-00003766"/>
    <s v="FV B-00090-00003766(1).pdf"/>
    <s v="RE R-00008-00003372"/>
    <s v="RE R-00008-00003372.pdf"/>
    <s v="SA"/>
    <n v="134472"/>
    <d v="2025-08-12T00:00:00"/>
    <s v="Gab_Hernandez"/>
    <n v="154999"/>
    <d v="2025-08-12T00:00:00"/>
    <d v="2025-08-12T00:00:00"/>
    <d v="2025-08-12T00:00:00"/>
    <d v="2025-08-12T00:00:00"/>
    <d v="2025-08-12T00:00:00"/>
    <d v="2025-08-12T00:00:00"/>
    <d v="2025-08-12T00:00:00"/>
    <m/>
    <m/>
    <m/>
    <m/>
    <m/>
    <m/>
    <s v="Pistachos "/>
    <n v="20"/>
    <n v="40"/>
  </r>
  <r>
    <n v="77734"/>
    <n v="3"/>
    <s v="1"/>
    <x v="37"/>
    <s v="PIST004   "/>
    <x v="4"/>
    <s v="Pistachos"/>
    <s v="Pistachos                                         "/>
    <n v="140"/>
    <n v="29.9"/>
    <n v="140"/>
    <n v="140"/>
    <n v="1400"/>
    <x v="0"/>
    <s v="Pistachos_Garbi               "/>
    <s v="COA"/>
    <s v="FV A-00006-00002752"/>
    <s v="FV A-00006-00002752.pdf"/>
    <s v="RE R-00008-00003369"/>
    <s v="RE R-00008-00003369.pdf"/>
    <s v="SA"/>
    <n v="134456"/>
    <d v="2025-08-12T00:00:00"/>
    <s v="Gab_Hernandez"/>
    <n v="154905"/>
    <d v="2025-08-12T00:00:00"/>
    <d v="2025-08-12T00:00:00"/>
    <d v="2025-08-12T00:00:00"/>
    <d v="2025-08-12T00:00:00"/>
    <d v="2025-08-12T00:00:00"/>
    <d v="2025-08-12T00:00:00"/>
    <d v="2025-08-12T00:00:00"/>
    <m/>
    <m/>
    <m/>
    <m/>
    <m/>
    <m/>
    <s v="Pistachos "/>
    <n v="140"/>
    <n v="280"/>
  </r>
  <r>
    <n v="77734"/>
    <n v="2"/>
    <s v="1"/>
    <x v="37"/>
    <s v="PIST004   "/>
    <x v="4"/>
    <s v="Pistachos"/>
    <s v="Pistachos                                         "/>
    <n v="840"/>
    <n v="28.9"/>
    <n v="840"/>
    <n v="840"/>
    <n v="8400"/>
    <x v="0"/>
    <s v="Pistachos_Garbi               "/>
    <s v="COA"/>
    <s v="FV A-00006-00002753"/>
    <s v="FV A-00006-00002753.pdf"/>
    <s v="RE R-00008-00003370"/>
    <s v="RE R-00008-00003370.pdf"/>
    <s v="SA"/>
    <n v="134455"/>
    <d v="2025-08-12T00:00:00"/>
    <s v="Gab_Hernandez"/>
    <n v="154904"/>
    <d v="2025-08-12T00:00:00"/>
    <d v="2025-08-12T00:00:00"/>
    <d v="2025-08-12T00:00:00"/>
    <d v="2025-08-12T00:00:00"/>
    <d v="2025-08-12T00:00:00"/>
    <d v="2025-08-12T00:00:00"/>
    <d v="2025-08-12T00:00:00"/>
    <m/>
    <m/>
    <m/>
    <m/>
    <m/>
    <m/>
    <s v="Pistachos "/>
    <n v="840"/>
    <n v="1680"/>
  </r>
  <r>
    <n v="77734"/>
    <n v="1"/>
    <s v="1"/>
    <x v="37"/>
    <s v="PIST004   "/>
    <x v="4"/>
    <s v="Pistachos"/>
    <s v="Pistachos                                         "/>
    <n v="210"/>
    <n v="27.9"/>
    <n v="210"/>
    <n v="210"/>
    <n v="2100"/>
    <x v="0"/>
    <s v="Pistachos_Garbi               "/>
    <s v="COA"/>
    <s v="FV A-00006-00002754"/>
    <s v="FV A-00006-00002754.pdf"/>
    <s v="RE R-00008-00003371"/>
    <s v="RE R-00008-00003371.pdf"/>
    <s v="SA"/>
    <n v="134454"/>
    <d v="2025-08-12T00:00:00"/>
    <s v="Gab_Hernandez"/>
    <n v="154901"/>
    <d v="2025-08-12T00:00:00"/>
    <d v="2025-08-12T00:00:00"/>
    <d v="2025-08-12T00:00:00"/>
    <d v="2025-08-12T00:00:00"/>
    <d v="2025-08-12T00:00:00"/>
    <d v="2025-08-12T00:00:00"/>
    <d v="2025-08-12T00:00:00"/>
    <m/>
    <m/>
    <m/>
    <m/>
    <m/>
    <m/>
    <s v="Pistachos "/>
    <n v="210"/>
    <n v="420"/>
  </r>
  <r>
    <n v="77691"/>
    <n v="1"/>
    <s v="1"/>
    <x v="38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98"/>
    <s v="FV A-00006-00002698.pdf"/>
    <s v="RE R-00008-00003279"/>
    <s v="RE R-00008-00003279.pdf"/>
    <s v="SA"/>
    <n v="134562"/>
    <d v="2025-08-14T00:00:00"/>
    <s v="Gab_Hernandez"/>
    <n v="154699"/>
    <d v="2025-08-08T00:00:00"/>
    <d v="2025-08-08T00:00:00"/>
    <d v="2025-08-12T00:00:00"/>
    <d v="2025-08-12T00:00:00"/>
    <d v="2025-08-12T00:00:00"/>
    <d v="2025-08-12T00:00:00"/>
    <d v="2025-08-12T00:00:00"/>
    <m/>
    <m/>
    <m/>
    <m/>
    <m/>
    <m/>
    <s v="Pistachos "/>
    <n v="70"/>
    <n v="140"/>
  </r>
  <r>
    <n v="77690"/>
    <n v="1"/>
    <s v="1"/>
    <x v="39"/>
    <s v="TOST      "/>
    <x v="0"/>
    <s v="Pistachos"/>
    <s v="Pistachos                                         "/>
    <n v="140"/>
    <n v="14.75"/>
    <n v="140"/>
    <n v="140"/>
    <n v="1400"/>
    <x v="0"/>
    <s v="Pistachos_Garbi               "/>
    <s v="COA"/>
    <s v="FV A-00006-00002669"/>
    <s v="FV A-00006-00002669.pdf"/>
    <s v="RE R-00008-00003241"/>
    <s v="RE R-00008-00003241.pdf"/>
    <s v="SA"/>
    <n v="134563"/>
    <d v="2025-08-14T00:00:00"/>
    <s v="Gab_Hernandez"/>
    <n v="154698"/>
    <d v="2025-08-08T00:00:00"/>
    <d v="2025-08-08T00:00:00"/>
    <d v="2025-08-12T00:00:00"/>
    <d v="2025-08-12T00:00:00"/>
    <d v="2025-08-12T00:00:00"/>
    <d v="2025-08-12T00:00:00"/>
    <d v="2025-08-12T00:00:00"/>
    <m/>
    <m/>
    <m/>
    <m/>
    <m/>
    <m/>
    <s v="Pistachos "/>
    <n v="140"/>
    <n v="280"/>
  </r>
  <r>
    <n v="77689"/>
    <n v="1"/>
    <s v="1"/>
    <x v="40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67"/>
    <s v="FV A-00006-00002667.pdf"/>
    <s v="RE R-00008-00003229"/>
    <s v="RE R-00008-00003229.pdf"/>
    <s v="SA"/>
    <n v="134564"/>
    <d v="2025-08-14T00:00:00"/>
    <s v="Gab_Hernandez"/>
    <n v="154697"/>
    <d v="2025-08-08T00:00:00"/>
    <d v="2025-08-08T00:00:00"/>
    <d v="2025-08-12T00:00:00"/>
    <d v="2025-08-12T00:00:00"/>
    <d v="2025-08-12T00:00:00"/>
    <d v="2025-08-12T00:00:00"/>
    <d v="2025-08-12T00:00:00"/>
    <m/>
    <m/>
    <m/>
    <m/>
    <m/>
    <m/>
    <s v="Pistachos "/>
    <n v="70"/>
    <n v="140"/>
  </r>
  <r>
    <n v="77688"/>
    <n v="1"/>
    <s v="1"/>
    <x v="41"/>
    <s v="TOST      "/>
    <x v="0"/>
    <s v="Pistachos"/>
    <s v="Pistachos                                         "/>
    <n v="35"/>
    <n v="14.75"/>
    <n v="35"/>
    <n v="35"/>
    <n v="350"/>
    <x v="0"/>
    <s v="Pistachos_Garbi               "/>
    <s v="COA"/>
    <s v="FV A-00006-00002670"/>
    <s v="FV A-00006-00002670.pdf"/>
    <s v="RE R-00008-00003242"/>
    <s v="RE R-00008-00003242.pdf"/>
    <s v="SA"/>
    <n v="134565"/>
    <d v="2025-08-14T00:00:00"/>
    <s v="Gab_Hernandez"/>
    <n v="154696"/>
    <d v="2025-08-08T00:00:00"/>
    <d v="2025-08-08T00:00:00"/>
    <d v="2025-08-12T00:00:00"/>
    <d v="2025-08-12T00:00:00"/>
    <d v="2025-08-12T00:00:00"/>
    <d v="2025-08-12T00:00:00"/>
    <d v="2025-08-12T00:00:00"/>
    <m/>
    <m/>
    <m/>
    <m/>
    <m/>
    <m/>
    <s v="Pistachos "/>
    <n v="35"/>
    <n v="70"/>
  </r>
  <r>
    <n v="77687"/>
    <n v="1"/>
    <s v="1"/>
    <x v="42"/>
    <s v="TOST      "/>
    <x v="0"/>
    <s v="Pistachos"/>
    <s v="Pistachos                                         "/>
    <n v="140"/>
    <n v="14.75"/>
    <n v="140"/>
    <n v="140"/>
    <n v="1400"/>
    <x v="0"/>
    <s v="Pistachos_Garbi               "/>
    <s v="COA"/>
    <s v="FV B-00090-00003641"/>
    <s v="FV B-00090-00003641.pdf"/>
    <s v="RE R-00008-00003282"/>
    <s v="RE R-00008-00003282.pdf"/>
    <s v="SA"/>
    <n v="134566"/>
    <d v="2025-08-14T00:00:00"/>
    <s v="Gab_Hernandez"/>
    <n v="154695"/>
    <d v="2025-08-08T00:00:00"/>
    <d v="2025-08-08T00:00:00"/>
    <d v="2025-08-12T00:00:00"/>
    <d v="2025-08-12T00:00:00"/>
    <d v="2025-08-12T00:00:00"/>
    <d v="2025-08-12T00:00:00"/>
    <d v="2025-08-12T00:00:00"/>
    <m/>
    <m/>
    <m/>
    <m/>
    <m/>
    <m/>
    <s v="Pistachos "/>
    <n v="140"/>
    <n v="280"/>
  </r>
  <r>
    <n v="77686"/>
    <n v="1"/>
    <s v="1"/>
    <x v="43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89"/>
    <s v="FV A-00006-00002689.pdf"/>
    <s v="RE R-00008-00003270"/>
    <s v="RE R-00008-00003270.pdf"/>
    <s v="SA"/>
    <n v="134672"/>
    <d v="2025-08-14T00:00:00"/>
    <s v="Gab_Hernandez"/>
    <n v="15469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85"/>
    <n v="1"/>
    <s v="1"/>
    <x v="44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61"/>
    <s v="FV A-00006-00002661.pdf"/>
    <s v="RE R-00008-00003233"/>
    <s v="RE R-00008-00003233.pdf"/>
    <s v="SA"/>
    <n v="134673"/>
    <d v="2025-08-14T00:00:00"/>
    <s v="Gab_Hernandez"/>
    <n v="154693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84"/>
    <n v="2"/>
    <s v="1"/>
    <x v="45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27"/>
    <s v="FV A-00006-00002627.pdf"/>
    <s v="RE R-00008-00003192"/>
    <s v="RE R-00008-00003192.pdf"/>
    <s v="SA"/>
    <n v="134674"/>
    <d v="2025-08-14T00:00:00"/>
    <s v="Gab_Hernandez"/>
    <n v="154692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84"/>
    <n v="1"/>
    <s v="1"/>
    <x v="45"/>
    <s v="PEPA      "/>
    <x v="1"/>
    <s v="Pistachos"/>
    <s v="Pistachos                                         "/>
    <n v="50"/>
    <n v="26.3"/>
    <n v="50"/>
    <n v="50"/>
    <n v="500"/>
    <x v="0"/>
    <s v="Pistachos_Garbi               "/>
    <s v="COA"/>
    <s v="FV A-00006-00002668"/>
    <s v="FV A-00006-00002668.pdf"/>
    <s v="RE R-00008-00003240"/>
    <s v="RE R-00008-00003240.pdf"/>
    <s v="SA"/>
    <n v="134675"/>
    <d v="2025-08-14T00:00:00"/>
    <s v="Gab_Hernandez"/>
    <n v="154691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50"/>
    <n v="100"/>
  </r>
  <r>
    <n v="77683"/>
    <n v="1"/>
    <s v="1"/>
    <x v="46"/>
    <s v="TOST      "/>
    <x v="0"/>
    <s v="Pistachos"/>
    <s v="Pistachos                                         "/>
    <n v="140"/>
    <n v="14.75"/>
    <n v="140"/>
    <n v="140"/>
    <n v="1400"/>
    <x v="0"/>
    <s v="Pistachos_Garbi               "/>
    <s v="COA"/>
    <s v="FV A-00006-00002701"/>
    <s v="FV A-00006-00002701.pdf"/>
    <s v="RE R-00008-00003284"/>
    <s v="RE R-00008-00003284.pdf"/>
    <s v="SA"/>
    <n v="134676"/>
    <d v="2025-08-14T00:00:00"/>
    <s v="Gab_Hernandez"/>
    <n v="154690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40"/>
    <n v="280"/>
  </r>
  <r>
    <n v="77682"/>
    <n v="1"/>
    <s v="1"/>
    <x v="47"/>
    <s v="TOST      "/>
    <x v="0"/>
    <s v="Pistachos"/>
    <s v="Pistachos                                         "/>
    <n v="10"/>
    <n v="14.75"/>
    <n v="10"/>
    <n v="10"/>
    <n v="100"/>
    <x v="0"/>
    <s v="Pistachos_Garbi               "/>
    <s v="COA"/>
    <s v="FV A-00006-00002656"/>
    <s v="FV A-00006-00002656.pdf"/>
    <s v="RE R-00008-00003228"/>
    <s v="RE R-00008-00003228.pdf"/>
    <s v="SA"/>
    <n v="134677"/>
    <d v="2025-08-14T00:00:00"/>
    <s v="Gab_Hernandez"/>
    <n v="154689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0"/>
    <n v="20"/>
  </r>
  <r>
    <n v="77681"/>
    <n v="1"/>
    <s v="1"/>
    <x v="48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99"/>
    <s v="FV A-00006-00002699.pdf"/>
    <s v="RE R-00008-00003280"/>
    <s v="RE R-00008-00003280.pdf"/>
    <s v="SA"/>
    <n v="134678"/>
    <d v="2025-08-14T00:00:00"/>
    <s v="Gab_Hernandez"/>
    <n v="154688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80"/>
    <n v="1"/>
    <s v="1"/>
    <x v="49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45"/>
    <s v="FV A-00006-00002645.pdf"/>
    <s v="RE R-00008-00003217"/>
    <s v="RE R-00008-00003217.pdf"/>
    <s v="SA"/>
    <n v="134679"/>
    <d v="2025-08-14T00:00:00"/>
    <s v="Gab_Hernandez"/>
    <n v="154687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79"/>
    <n v="1"/>
    <s v="1"/>
    <x v="50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B-00090-00003640"/>
    <s v="FV B-00090-00003640.pdf"/>
    <s v="RE R-00008-00003287"/>
    <s v="RE R-00008-00003287.pdf"/>
    <s v="SA"/>
    <n v="134680"/>
    <d v="2025-08-14T00:00:00"/>
    <s v="Gab_Hernandez"/>
    <n v="154686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78"/>
    <n v="1"/>
    <s v="1"/>
    <x v="51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59"/>
    <s v="FV A-00006-00002659.pdf"/>
    <s v="RE R-00008-00003231"/>
    <s v="RE R-00008-00003231.pdf"/>
    <s v="SA"/>
    <n v="134681"/>
    <d v="2025-08-14T00:00:00"/>
    <s v="Gab_Hernandez"/>
    <n v="154685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77"/>
    <n v="1"/>
    <s v="1"/>
    <x v="52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690"/>
    <s v="FV A-00006-00002690.pdf"/>
    <s v="RE R-00008-00003271"/>
    <s v="RE R-00008-00003271.pdf"/>
    <s v="SA"/>
    <n v="134682"/>
    <d v="2025-08-14T00:00:00"/>
    <s v="Gab_Hernandez"/>
    <n v="15468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69"/>
    <n v="2"/>
    <s v="1"/>
    <x v="27"/>
    <s v="TOST      "/>
    <x v="0"/>
    <s v="Pistachos"/>
    <s v="Pistachos                                         "/>
    <n v="350"/>
    <n v="14.75"/>
    <n v="350"/>
    <n v="350"/>
    <n v="3500"/>
    <x v="0"/>
    <s v="Pistachos_Garbi               "/>
    <s v="COA"/>
    <s v="FV A-00006-00002695"/>
    <s v="FV A-00006-00002695.pdf"/>
    <s v="RE R-00008-00003276"/>
    <s v="RE R-00008-00003276.pdf"/>
    <s v="SA"/>
    <n v="134683"/>
    <d v="2025-08-14T00:00:00"/>
    <s v="Gab_Hernandez"/>
    <n v="154661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350"/>
    <n v="700"/>
  </r>
  <r>
    <n v="77669"/>
    <n v="1"/>
    <s v="1"/>
    <x v="27"/>
    <s v="PEPA      "/>
    <x v="1"/>
    <s v="Pistachos"/>
    <s v="Pistachos                                         "/>
    <n v="50"/>
    <n v="26.3"/>
    <n v="50"/>
    <n v="50"/>
    <n v="500"/>
    <x v="0"/>
    <s v="Pistachos_Garbi               "/>
    <s v="COA"/>
    <s v="FV A-00090-00029550"/>
    <s v="FV A-00090-00029550.pdf"/>
    <s v="RE R-00008-00003283"/>
    <s v="RE R-00008-00003283.pdf"/>
    <s v="SA"/>
    <n v="134684"/>
    <d v="2025-08-14T00:00:00"/>
    <s v="Gab_Hernandez"/>
    <n v="154660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50"/>
    <n v="100"/>
  </r>
  <r>
    <n v="77668"/>
    <n v="1"/>
    <s v="1"/>
    <x v="37"/>
    <s v="PEPA      "/>
    <x v="1"/>
    <s v="Pistachos"/>
    <s v="Pistachos                                         "/>
    <n v="210"/>
    <n v="26.3"/>
    <n v="210"/>
    <n v="210"/>
    <n v="2100"/>
    <x v="0"/>
    <s v="Pistachos_Garbi               "/>
    <s v="COA"/>
    <s v="FV A-00006-00002676"/>
    <s v="FV A-00006-00002676.pdf"/>
    <s v="RE R-00008-00003249"/>
    <s v="RE R-00008-00003249.pdf"/>
    <s v="SA"/>
    <n v="134686"/>
    <d v="2025-08-14T00:00:00"/>
    <s v="Gab_Hernandez"/>
    <n v="154656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210"/>
    <n v="420"/>
  </r>
  <r>
    <n v="77668"/>
    <n v="2"/>
    <s v="1"/>
    <x v="37"/>
    <s v="PEPATOS   "/>
    <x v="3"/>
    <s v="Pistachos"/>
    <s v="Pistachos                                         "/>
    <n v="1920"/>
    <n v="26.9"/>
    <n v="1920"/>
    <n v="1920"/>
    <n v="19200"/>
    <x v="0"/>
    <s v="Pistachos_Garbi               "/>
    <s v="COA"/>
    <s v="FV A-00006-00002681"/>
    <s v="FV A-00006-00002681.pdf"/>
    <s v="RE R-00008-00003255"/>
    <s v="RE R-00008-00003255.pdf"/>
    <s v="SA"/>
    <n v="134685"/>
    <d v="2025-08-14T00:00:00"/>
    <s v="Gab_Hernandez"/>
    <n v="154657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920"/>
    <n v="3840"/>
  </r>
  <r>
    <n v="77667"/>
    <n v="1"/>
    <s v="1"/>
    <x v="10"/>
    <s v="PEPA      "/>
    <x v="1"/>
    <s v="Pistachos"/>
    <s v="Pistachos                                         "/>
    <n v="50"/>
    <n v="26.3"/>
    <n v="50"/>
    <n v="50"/>
    <n v="500"/>
    <x v="0"/>
    <s v="Pistachos_Garbi               "/>
    <s v="COA"/>
    <s v="FV B-00006-00000279"/>
    <s v="FV B-00006-00000279(1).pdf"/>
    <s v="RE R-00008-00003354"/>
    <s v="RE R-00008-00003354.pdf"/>
    <s v="SA"/>
    <n v="134688"/>
    <d v="2025-08-14T00:00:00"/>
    <s v="Gab_Hernandez"/>
    <n v="15465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50"/>
    <n v="100"/>
  </r>
  <r>
    <n v="77667"/>
    <n v="2"/>
    <s v="1"/>
    <x v="10"/>
    <s v="TOST      "/>
    <x v="0"/>
    <s v="Pistachos"/>
    <s v="Pistachos                                         "/>
    <n v="650"/>
    <n v="14.75"/>
    <n v="650"/>
    <n v="650"/>
    <n v="6500"/>
    <x v="0"/>
    <s v="Pistachos_Garbi               "/>
    <s v="COA"/>
    <s v="FV B-00006-00000279"/>
    <s v="FV B-00006-00000279.pdf"/>
    <s v="RE R-00008-00003354"/>
    <s v="RE R-00008-00003354.pdf"/>
    <s v="SA"/>
    <n v="134687"/>
    <d v="2025-08-14T00:00:00"/>
    <s v="Gab_Hernandez"/>
    <n v="154655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650"/>
    <n v="1300"/>
  </r>
  <r>
    <n v="77666"/>
    <n v="1"/>
    <s v="1"/>
    <x v="53"/>
    <s v="PEPA      "/>
    <x v="1"/>
    <s v="Pistachos"/>
    <s v="Pistachos                                         "/>
    <n v="70"/>
    <n v="26.3"/>
    <n v="70"/>
    <n v="70"/>
    <n v="700"/>
    <x v="0"/>
    <s v="Pistachos_Garbi               "/>
    <s v="COA"/>
    <s v="FV A-00006-00002622"/>
    <s v="FV A-00006-00002622.pdf"/>
    <s v="RE R-00008-00003200"/>
    <s v="RE R-00008-00003200.pdf"/>
    <s v="SA"/>
    <n v="134689"/>
    <d v="2025-08-14T00:00:00"/>
    <s v="Gab_Hernandez"/>
    <n v="154653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64"/>
    <n v="1"/>
    <s v="1"/>
    <x v="14"/>
    <s v="TOST      "/>
    <x v="0"/>
    <s v="Pistachos"/>
    <s v="Pistachos                                         "/>
    <n v="350"/>
    <n v="14.75"/>
    <n v="350"/>
    <n v="350"/>
    <n v="3500"/>
    <x v="0"/>
    <s v="Pistachos_Garbi               "/>
    <s v="COA"/>
    <s v="FV B-00090-00003645"/>
    <s v="FV B-00090-00003645.pdf"/>
    <s v="RE R-00008-00003268"/>
    <s v="RE R-00008-00003268.pdf"/>
    <s v="SA"/>
    <n v="134690"/>
    <d v="2025-08-14T00:00:00"/>
    <s v="Gab_Hernandez"/>
    <n v="154651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350"/>
    <n v="700"/>
  </r>
  <r>
    <n v="77663"/>
    <n v="1"/>
    <s v="1"/>
    <x v="54"/>
    <s v="PEPA      "/>
    <x v="1"/>
    <s v="Pistachos"/>
    <s v="Pistachos                                         "/>
    <n v="14"/>
    <n v="26.3"/>
    <n v="14"/>
    <n v="14"/>
    <n v="140"/>
    <x v="0"/>
    <s v="Pistachos_Garbi               "/>
    <s v="COA"/>
    <s v="FV A-00006-00002605"/>
    <s v="FV A-00006-00002605.pdf"/>
    <s v="RE R-00008-00003170"/>
    <s v="RE R-00008-00003170.pdf"/>
    <s v="SA"/>
    <n v="134691"/>
    <d v="2025-08-14T00:00:00"/>
    <s v="Gab_Hernandez"/>
    <n v="154650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4"/>
    <n v="28"/>
  </r>
  <r>
    <n v="77658"/>
    <n v="1"/>
    <s v="1"/>
    <x v="55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55"/>
    <s v="FV A-00006-00002655.pdf"/>
    <s v="RE R-00008-00003227"/>
    <s v="RE R-00008-00003227.pdf"/>
    <s v="SA"/>
    <n v="134692"/>
    <d v="2025-08-14T00:00:00"/>
    <s v="Gab_Hernandez"/>
    <n v="154626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53"/>
    <n v="1"/>
    <s v="1"/>
    <x v="56"/>
    <s v="PEPA      "/>
    <x v="1"/>
    <s v="Pistachos"/>
    <s v="Pistachos                                         "/>
    <n v="40"/>
    <n v="26.3"/>
    <n v="40"/>
    <n v="40"/>
    <n v="400"/>
    <x v="0"/>
    <s v="Pistachos_Garbi               "/>
    <s v="COA"/>
    <s v="FV A-00090-00029397"/>
    <s v="FV A-00090-00029397.pdf"/>
    <s v="RE R-00008-00003262"/>
    <s v="RE R-00008-00003262.pdf"/>
    <s v="SA"/>
    <n v="134693"/>
    <d v="2025-08-14T00:00:00"/>
    <s v="Gab_Hernandez"/>
    <n v="154613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40"/>
    <n v="80"/>
  </r>
  <r>
    <n v="77652"/>
    <n v="1"/>
    <s v="1"/>
    <x v="32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91"/>
    <s v="FV A-00006-00002691.pdf"/>
    <s v="RE R-00008-00003272"/>
    <s v="RE R-00008-00003272.pdf"/>
    <s v="SA"/>
    <n v="134694"/>
    <d v="2025-08-14T00:00:00"/>
    <s v="Gab_Hernandez"/>
    <n v="154595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50"/>
    <n v="1"/>
    <s v="1"/>
    <x v="57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B-00090-00003656"/>
    <s v="FV B-00090-00003656.pdf"/>
    <s v="RE R-00008-00003289"/>
    <s v="RE R-00008-00003289.pdf"/>
    <s v="SA"/>
    <n v="134695"/>
    <d v="2025-08-14T00:00:00"/>
    <s v="Gab_Hernandez"/>
    <n v="15459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49"/>
    <n v="1"/>
    <s v="1"/>
    <x v="26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58"/>
    <s v="FV A-00006-00002658.pdf"/>
    <s v="RE R-00008-00003230"/>
    <s v="RE R-00008-00003230.pdf"/>
    <s v="SA"/>
    <n v="134696"/>
    <d v="2025-08-14T00:00:00"/>
    <s v="Gab_Hernandez"/>
    <n v="154593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48"/>
    <n v="2"/>
    <s v="1"/>
    <x v="58"/>
    <s v="TOST      "/>
    <x v="0"/>
    <s v="Pistachos"/>
    <s v="Pistachos                                         "/>
    <n v="50"/>
    <n v="14.75"/>
    <n v="50"/>
    <n v="50"/>
    <n v="500"/>
    <x v="0"/>
    <s v="Pistachos_Garbi               "/>
    <s v="COA"/>
    <s v="FV A-00006-00002687"/>
    <s v="FV A-00006-00002687.pdf"/>
    <s v="RE R-00008-00003265"/>
    <s v="RE R-00008-00003265.pdf"/>
    <s v="SA"/>
    <n v="134701"/>
    <d v="2025-08-14T00:00:00"/>
    <s v="Gab_Hernandez"/>
    <n v="154592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50"/>
    <n v="100"/>
  </r>
  <r>
    <n v="77648"/>
    <n v="1"/>
    <s v="1"/>
    <x v="58"/>
    <s v="PEPA      "/>
    <x v="1"/>
    <s v="Pistachos"/>
    <s v="Pistachos                                         "/>
    <n v="30"/>
    <n v="26.3"/>
    <n v="30"/>
    <n v="30"/>
    <n v="300"/>
    <x v="0"/>
    <s v="Pistachos_Garbi               "/>
    <s v="COA"/>
    <s v="FV A-00006-00002677"/>
    <s v="FV A-00006-00002677.pdf"/>
    <s v="RE R-00008-00003250"/>
    <s v="RE R-00008-00003250.pdf"/>
    <s v="SA"/>
    <n v="134702"/>
    <d v="2025-08-14T00:00:00"/>
    <s v="Gab_Hernandez"/>
    <n v="154591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30"/>
    <n v="60"/>
  </r>
  <r>
    <n v="77647"/>
    <n v="1"/>
    <s v="1"/>
    <x v="59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52"/>
    <s v="FV A-00006-00002652.pdf"/>
    <s v="RE R-00008-00003224"/>
    <s v="RE R-00008-00003224.pdf"/>
    <s v="SA"/>
    <n v="134703"/>
    <d v="2025-08-14T00:00:00"/>
    <s v="Gab_Hernandez"/>
    <n v="154590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46"/>
    <n v="1"/>
    <s v="1"/>
    <x v="17"/>
    <s v="PEPA      "/>
    <x v="1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684"/>
    <s v="FV A-00006-00002684.pdf"/>
    <s v="RE R-00008-00003258"/>
    <s v="RE R-00008-00003258.pdf"/>
    <s v="SA"/>
    <n v="134705"/>
    <d v="2025-08-14T00:00:00"/>
    <s v="Gab_Hernandez"/>
    <n v="154589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40"/>
    <n v="280"/>
  </r>
  <r>
    <n v="77645"/>
    <n v="1"/>
    <s v="1"/>
    <x v="0"/>
    <s v="PEPA      "/>
    <x v="1"/>
    <s v="Pistachos"/>
    <s v="Pistachos                                         "/>
    <n v="70"/>
    <n v="26.3"/>
    <n v="70"/>
    <n v="70"/>
    <n v="700"/>
    <x v="0"/>
    <s v="Pistachos_Garbi               "/>
    <s v="COA"/>
    <s v="FV A-00090-00029398"/>
    <s v="FV A-00090-00029398.pdf"/>
    <s v="RE R-00008-00003263"/>
    <s v="RE R-00008-00003263.pdf"/>
    <s v="SA"/>
    <n v="134706"/>
    <d v="2025-08-14T00:00:00"/>
    <s v="Gab_Hernandez"/>
    <n v="154587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45"/>
    <n v="2"/>
    <s v="1"/>
    <x v="0"/>
    <s v="TOST      "/>
    <x v="0"/>
    <s v="Pistachos"/>
    <s v="Pistachos                                         "/>
    <n v="210"/>
    <n v="14.75"/>
    <n v="210"/>
    <n v="210"/>
    <n v="2100"/>
    <x v="0"/>
    <s v="Pistachos_Garbi               "/>
    <s v="COA"/>
    <s v="FV A-00090-00029406"/>
    <s v="FV A-00090-00029406.pdf"/>
    <s v="RE R-00008-00003263"/>
    <s v="RE R-00008-00003263.pdf"/>
    <s v="SA"/>
    <n v="134704"/>
    <d v="2025-08-14T00:00:00"/>
    <s v="Gab_Hernandez"/>
    <n v="154588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210"/>
    <n v="420"/>
  </r>
  <r>
    <n v="77644"/>
    <n v="1"/>
    <s v="1"/>
    <x v="1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44"/>
    <s v="FV A-00006-00002644.pdf"/>
    <s v="RE R-00008-00003216"/>
    <s v="RE R-00008-00003216.pdf"/>
    <s v="SA"/>
    <n v="134707"/>
    <d v="2025-08-14T00:00:00"/>
    <s v="Gab_Hernandez"/>
    <n v="154586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43"/>
    <n v="2"/>
    <s v="1"/>
    <x v="60"/>
    <s v="TOST      "/>
    <x v="0"/>
    <s v="Pistachos"/>
    <s v="Pistachos                                         "/>
    <n v="140"/>
    <n v="17.75"/>
    <n v="140"/>
    <n v="140"/>
    <n v="1400"/>
    <x v="0"/>
    <s v="Pistachos_Garbi               "/>
    <s v="COA"/>
    <s v="FV B-00090-00003645"/>
    <s v="FV B-00090-00003645(1).pdf"/>
    <s v="RE R-00008-00003268"/>
    <s v="RE R-00008-00003268.pdf"/>
    <s v="SA"/>
    <n v="134708"/>
    <d v="2025-08-14T00:00:00"/>
    <s v="Gab_Hernandez"/>
    <n v="15458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40"/>
    <n v="280"/>
  </r>
  <r>
    <n v="77643"/>
    <n v="1"/>
    <s v="1"/>
    <x v="60"/>
    <s v="PEPA      "/>
    <x v="1"/>
    <s v="Pistachos"/>
    <s v="Pistachos                                         "/>
    <n v="70"/>
    <n v="26.3"/>
    <n v="70"/>
    <n v="70"/>
    <n v="700"/>
    <x v="0"/>
    <s v="Pistachos_Garbi               "/>
    <s v="COA"/>
    <s v="FV B-00090-00003645"/>
    <s v="FV B-00090-00003645(2).pdf"/>
    <s v="RE R-00008-00003268"/>
    <s v="RE R-00008-00003268.pdf"/>
    <s v="SA"/>
    <n v="134709"/>
    <d v="2025-08-14T00:00:00"/>
    <s v="Gab_Hernandez"/>
    <n v="154579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41"/>
    <n v="1"/>
    <s v="1"/>
    <x v="8"/>
    <s v="PEPA      "/>
    <x v="1"/>
    <s v="Pistachos"/>
    <s v="Pistachos                                         "/>
    <n v="30"/>
    <n v="26.3"/>
    <n v="30"/>
    <n v="30"/>
    <n v="300"/>
    <x v="0"/>
    <s v="Pistachos_Garbi               "/>
    <s v="COA"/>
    <s v="FV A-00006-00002634"/>
    <s v="FV A-00006-00002634(1).pdf"/>
    <s v="RE R-00008-00003201"/>
    <s v="RE R-00008-00003201.pdf"/>
    <s v="SA"/>
    <n v="134711"/>
    <d v="2025-08-14T00:00:00"/>
    <s v="Gab_Hernandez"/>
    <n v="15456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30"/>
    <n v="60"/>
  </r>
  <r>
    <n v="77641"/>
    <n v="2"/>
    <s v="1"/>
    <x v="8"/>
    <s v="TOST      "/>
    <x v="0"/>
    <s v="Pistachos"/>
    <s v="Pistachos                                         "/>
    <n v="110"/>
    <n v="14.75"/>
    <n v="110"/>
    <n v="110"/>
    <n v="1100"/>
    <x v="0"/>
    <s v="Pistachos_Garbi               "/>
    <s v="COA"/>
    <s v="FV A-00006-00002634"/>
    <s v="FV A-00006-00002634.pdf"/>
    <s v="RE R-00008-00003201"/>
    <s v="RE R-00008-00003201.pdf"/>
    <s v="SA"/>
    <n v="134710"/>
    <d v="2025-08-14T00:00:00"/>
    <s v="Gab_Hernandez"/>
    <n v="154565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10"/>
    <n v="220"/>
  </r>
  <r>
    <n v="77640"/>
    <n v="2"/>
    <s v="1"/>
    <x v="61"/>
    <s v="TOST      "/>
    <x v="0"/>
    <s v="Pistachos"/>
    <s v="Pistachos                                         "/>
    <n v="210"/>
    <n v="14.75"/>
    <n v="210"/>
    <n v="210"/>
    <n v="2100"/>
    <x v="0"/>
    <s v="Pistachos_Garbi               "/>
    <s v="COA"/>
    <s v="FV B-00090-00003630"/>
    <s v="FV B-00090-00003630.pdf"/>
    <s v="RE R-00008-00003264"/>
    <s v="RE R-00008-00003264.pdf"/>
    <s v="SA"/>
    <n v="134712"/>
    <d v="2025-08-14T00:00:00"/>
    <s v="Gab_Hernandez"/>
    <n v="154563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210"/>
    <n v="420"/>
  </r>
  <r>
    <n v="77640"/>
    <n v="1"/>
    <s v="1"/>
    <x v="61"/>
    <s v="PEPA      "/>
    <x v="1"/>
    <s v="Pistachos"/>
    <s v="Pistachos                                         "/>
    <n v="50"/>
    <n v="26.3"/>
    <n v="50"/>
    <n v="50"/>
    <n v="500"/>
    <x v="0"/>
    <s v="Pistachos_Garbi               "/>
    <s v="COA"/>
    <s v="FV B-00090-00003493"/>
    <s v="FV B-00090-00003493.pdf"/>
    <s v="RE R-00008-00003211"/>
    <s v="RE R-00008-00003211.pdf"/>
    <s v="SA"/>
    <n v="134713"/>
    <d v="2025-08-14T00:00:00"/>
    <s v="Gab_Hernandez"/>
    <n v="154562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50"/>
    <n v="100"/>
  </r>
  <r>
    <n v="77639"/>
    <n v="1"/>
    <s v="1"/>
    <x v="7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53"/>
    <s v="FV A-00006-00002653.pdf"/>
    <s v="RE R-00008-00003225"/>
    <s v="RE R-00008-00003225.pdf"/>
    <s v="SA"/>
    <n v="134714"/>
    <d v="2025-08-14T00:00:00"/>
    <s v="Gab_Hernandez"/>
    <n v="154561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38"/>
    <n v="1"/>
    <s v="1"/>
    <x v="25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93"/>
    <s v="FV A-00006-00002693.pdf"/>
    <s v="RE R-00008-00033274"/>
    <s v="RE R-00008-00033274.pdf"/>
    <s v="SA"/>
    <n v="134715"/>
    <d v="2025-08-14T00:00:00"/>
    <s v="Gab_Hernandez"/>
    <n v="154560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35"/>
    <n v="1"/>
    <s v="1"/>
    <x v="23"/>
    <s v="TOST      "/>
    <x v="0"/>
    <s v="Pistachos"/>
    <s v="Pistachos                                         "/>
    <n v="190"/>
    <n v="14.75"/>
    <n v="190"/>
    <n v="190"/>
    <n v="1900"/>
    <x v="0"/>
    <s v="Pistachos_Garbi               "/>
    <s v="COA"/>
    <s v="FV A-00006-00002702"/>
    <s v="FV A-00006-00002702.pdf"/>
    <s v="RE R-00008-00003286"/>
    <s v="RE R-00008-00003286.pdf"/>
    <s v="SA"/>
    <n v="134716"/>
    <d v="2025-08-14T00:00:00"/>
    <s v="Gab_Hernandez"/>
    <n v="154559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190"/>
    <n v="380"/>
  </r>
  <r>
    <n v="77634"/>
    <n v="1"/>
    <s v="1"/>
    <x v="3"/>
    <s v="PEPA      "/>
    <x v="1"/>
    <s v="Pistachos"/>
    <s v="Pistachos                                         "/>
    <n v="210"/>
    <n v="26.3"/>
    <n v="210"/>
    <n v="210"/>
    <n v="2100"/>
    <x v="0"/>
    <s v="Pistachos_Garbi               "/>
    <s v="COA"/>
    <s v="FV A-00006-00002685"/>
    <s v="FV A-00006-00002685.pdf"/>
    <s v="RE R-00008-00003259"/>
    <s v="RE R-00008-00003259.pdf"/>
    <s v="SA"/>
    <n v="134717"/>
    <d v="2025-08-14T00:00:00"/>
    <s v="Gab_Hernandez"/>
    <n v="154556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210"/>
    <n v="420"/>
  </r>
  <r>
    <n v="77632"/>
    <n v="1"/>
    <s v="1"/>
    <x v="62"/>
    <s v="TOST      "/>
    <x v="0"/>
    <s v="Pistachos"/>
    <s v="Pistachos                                         "/>
    <n v="70"/>
    <n v="14.75"/>
    <n v="70"/>
    <n v="70"/>
    <n v="700"/>
    <x v="0"/>
    <s v="Pistachos_Garbi               "/>
    <s v="COA"/>
    <s v="FV A-00006-00002654"/>
    <s v="FV A-00006-00002654.pdf"/>
    <s v="RE R-00008-00003226"/>
    <s v="RE R-00008-00003226.pdf"/>
    <s v="SA"/>
    <n v="134718"/>
    <d v="2025-08-14T00:00:00"/>
    <s v="Gab_Hernandez"/>
    <n v="154554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70"/>
    <n v="140"/>
  </r>
  <r>
    <n v="77631"/>
    <n v="1"/>
    <s v="1"/>
    <x v="24"/>
    <s v="PEPA      "/>
    <x v="1"/>
    <s v="Pistachos"/>
    <s v="Pistachos                                         "/>
    <n v="210"/>
    <n v="26.3"/>
    <n v="210"/>
    <n v="210"/>
    <n v="2100"/>
    <x v="0"/>
    <s v="Pistachos_Garbi               "/>
    <s v="COA"/>
    <s v="FV A-00006-00002683"/>
    <s v="FV A-00006-00002683.pdf"/>
    <s v="RE R-00008-00003257"/>
    <s v="RE R-00008-00003257.pdf"/>
    <s v="SA"/>
    <n v="134719"/>
    <d v="2025-08-14T00:00:00"/>
    <s v="Gab_Hernandez"/>
    <n v="154552"/>
    <d v="2025-08-08T00:00:00"/>
    <d v="2025-08-08T00:00:00"/>
    <d v="2025-08-14T00:00:00"/>
    <d v="2025-08-14T00:00:00"/>
    <d v="2025-08-14T00:00:00"/>
    <d v="2025-08-14T00:00:00"/>
    <d v="2025-08-14T00:00:00"/>
    <m/>
    <m/>
    <m/>
    <m/>
    <m/>
    <m/>
    <s v="Pistachos "/>
    <n v="210"/>
    <n v="420"/>
  </r>
  <r>
    <n v="77345"/>
    <n v="1"/>
    <s v="1"/>
    <x v="13"/>
    <s v="TOST      "/>
    <x v="0"/>
    <s v="Pistachos"/>
    <s v="Pistachos                                         "/>
    <n v="140"/>
    <n v="17.75"/>
    <n v="140"/>
    <n v="140"/>
    <n v="1400"/>
    <x v="0"/>
    <s v="Pistachos_Garbi               "/>
    <s v="COA"/>
    <s v="FV A-00006-00002694"/>
    <s v="FV A-00006-00002694.pdf"/>
    <s v="RE R-00008-00003275"/>
    <s v="RE R-00008-00003275.pdf"/>
    <s v="SA"/>
    <n v="134743"/>
    <d v="2025-08-14T00:00:00"/>
    <s v="Gab_Hernandez"/>
    <n v="153046"/>
    <d v="2025-07-30T00:00:00"/>
    <d v="2025-07-30T00:00:00"/>
    <d v="2025-08-14T00:00:00"/>
    <d v="2025-08-14T00:00:00"/>
    <d v="2025-08-14T00:00:00"/>
    <d v="2025-08-14T00:00:00"/>
    <d v="2025-08-14T00:00:00"/>
    <m/>
    <m/>
    <m/>
    <m/>
    <m/>
    <m/>
    <s v="Pistachos "/>
    <n v="140"/>
    <n v="280"/>
  </r>
  <r>
    <n v="76579"/>
    <n v="1"/>
    <s v="1"/>
    <x v="16"/>
    <s v="PEPA      "/>
    <x v="1"/>
    <s v="Pistachos"/>
    <s v="Pistachos                                         "/>
    <n v="210"/>
    <n v="31.3"/>
    <n v="210"/>
    <n v="210"/>
    <n v="2100"/>
    <x v="0"/>
    <s v="Pistachos_Garbi               "/>
    <s v="COA"/>
    <s v="FV A-00006-00002686"/>
    <s v="FV A-00006-00002686.pdf"/>
    <s v="RE R-00008-00003260"/>
    <s v="RE R-00008-00003260.pdf"/>
    <s v="SA"/>
    <n v="134747"/>
    <d v="2025-08-14T00:00:00"/>
    <s v="Gab_Hernandez"/>
    <n v="149160"/>
    <d v="2025-07-08T00:00:00"/>
    <d v="2025-07-10T00:00:00"/>
    <d v="2025-08-14T00:00:00"/>
    <d v="2025-08-14T00:00:00"/>
    <d v="2025-08-14T00:00:00"/>
    <d v="2025-08-14T00:00:00"/>
    <d v="2025-08-14T00:00:00"/>
    <m/>
    <m/>
    <m/>
    <m/>
    <m/>
    <m/>
    <s v="Pistachos "/>
    <n v="210"/>
    <n v="420"/>
  </r>
  <r>
    <n v="77891"/>
    <n v="1"/>
    <s v="1"/>
    <x v="13"/>
    <s v="TOST      "/>
    <x v="0"/>
    <s v="Pistachos"/>
    <s v="Pistachos                                         "/>
    <n v="70"/>
    <n v="20.8"/>
    <n v="70"/>
    <n v="70"/>
    <n v="700"/>
    <x v="0"/>
    <s v="Pistachos_Garbi               "/>
    <s v="COA"/>
    <s v="FV A-00006-00002694"/>
    <s v="FV A-00006-00002694(1).pdf"/>
    <s v="RE R-00008-00003275"/>
    <s v="RE R-00008-00003275.pdf"/>
    <s v="SA"/>
    <n v="135044"/>
    <d v="2025-08-15T00:00:00"/>
    <s v="Gab_Hernandez"/>
    <n v="155703"/>
    <d v="2025-08-15T00:00:00"/>
    <d v="2025-08-15T00:00:00"/>
    <d v="2025-08-15T00:00:00"/>
    <d v="2025-08-15T00:00:00"/>
    <d v="2025-08-15T00:00:00"/>
    <d v="2025-08-15T00:00:00"/>
    <d v="2025-08-15T00:00:00"/>
    <m/>
    <m/>
    <m/>
    <m/>
    <m/>
    <m/>
    <s v="Pistachos "/>
    <n v="70"/>
    <n v="140"/>
  </r>
  <r>
    <n v="77890"/>
    <n v="1"/>
    <s v="1"/>
    <x v="17"/>
    <s v="PEPATOS   "/>
    <x v="3"/>
    <s v="Pistachos"/>
    <s v="Pistachos                                         "/>
    <n v="140"/>
    <n v="37.9"/>
    <n v="140"/>
    <n v="140"/>
    <n v="1400"/>
    <x v="0"/>
    <s v="Pistachos_Garbi               "/>
    <s v="COA"/>
    <s v="FV A-00006-00002762"/>
    <s v="FV A-00006-00002762.pdf"/>
    <s v="RE R-00008-00003380"/>
    <s v="RE R-00008-00003380.pdf"/>
    <s v="SA"/>
    <n v="135043"/>
    <d v="2025-08-15T00:00:00"/>
    <s v="Gab_Hernandez"/>
    <n v="155702"/>
    <d v="2025-08-15T00:00:00"/>
    <d v="2025-08-15T00:00:00"/>
    <d v="2025-08-15T00:00:00"/>
    <d v="2025-08-15T00:00:00"/>
    <d v="2025-08-15T00:00:00"/>
    <d v="2025-08-15T00:00:00"/>
    <d v="2025-08-15T00:00:00"/>
    <m/>
    <m/>
    <m/>
    <m/>
    <m/>
    <m/>
    <s v="Pistachos "/>
    <n v="140"/>
    <n v="280"/>
  </r>
  <r>
    <n v="77889"/>
    <n v="2"/>
    <s v="1"/>
    <x v="31"/>
    <s v="PEPATOS   "/>
    <x v="3"/>
    <s v="Pistachos"/>
    <s v="Pistachos                                         "/>
    <n v="140"/>
    <n v="36"/>
    <n v="140"/>
    <n v="140"/>
    <n v="1400"/>
    <x v="0"/>
    <s v="Pistachos_Garbi               "/>
    <s v="COA"/>
    <s v="FV A-00006-00002760"/>
    <s v="FV A-00006-00002760.pdf"/>
    <s v="RE R-00008-00003378"/>
    <s v="RE R-00008-00003378.pdf"/>
    <s v="SA"/>
    <n v="135039"/>
    <d v="2025-08-15T00:00:00"/>
    <s v="Gab_Hernandez"/>
    <n v="155701"/>
    <d v="2025-08-15T00:00:00"/>
    <d v="2025-08-15T00:00:00"/>
    <d v="2025-08-15T00:00:00"/>
    <d v="2025-08-15T00:00:00"/>
    <d v="2025-08-15T00:00:00"/>
    <d v="2025-08-15T00:00:00"/>
    <d v="2025-08-15T00:00:00"/>
    <m/>
    <m/>
    <m/>
    <m/>
    <m/>
    <m/>
    <s v="Pistachos "/>
    <n v="140"/>
    <n v="280"/>
  </r>
  <r>
    <n v="77889"/>
    <n v="1"/>
    <s v="1"/>
    <x v="31"/>
    <s v="PEPATOS   "/>
    <x v="3"/>
    <s v="Pistachos"/>
    <s v="Pistachos                                         "/>
    <n v="70"/>
    <n v="37.9"/>
    <n v="70"/>
    <n v="70"/>
    <n v="700"/>
    <x v="0"/>
    <s v="Pistachos_Garbi               "/>
    <s v="COA"/>
    <s v="FV A-00006-00002761"/>
    <s v="FV A-00006-00002761.pdf"/>
    <s v="RE R-00008-00003379"/>
    <s v="RE R-00008-00003379.pdf"/>
    <s v="SA"/>
    <n v="135040"/>
    <d v="2025-08-15T00:00:00"/>
    <s v="Gab_Hernandez"/>
    <n v="155700"/>
    <d v="2025-08-15T00:00:00"/>
    <d v="2025-08-15T00:00:00"/>
    <d v="2025-08-15T00:00:00"/>
    <d v="2025-08-15T00:00:00"/>
    <d v="2025-08-15T00:00:00"/>
    <d v="2025-08-15T00:00:00"/>
    <d v="2025-08-15T00:00:00"/>
    <m/>
    <m/>
    <m/>
    <m/>
    <m/>
    <m/>
    <s v="Pistachos "/>
    <n v="70"/>
    <n v="140"/>
  </r>
  <r>
    <n v="77694"/>
    <n v="3"/>
    <s v="1"/>
    <x v="34"/>
    <s v="PEPA      "/>
    <x v="1"/>
    <s v="Pistachos"/>
    <s v="Pistachos                                         "/>
    <n v="1"/>
    <n v="26.3"/>
    <n v="1"/>
    <n v="1"/>
    <n v="10"/>
    <x v="0"/>
    <s v="Pistachos_Garbi               "/>
    <s v="COA"/>
    <s v="FV A-00060-00002688"/>
    <s v="FV A-00060-00002688(2).pdf"/>
    <s v="RE R-00008-00003266"/>
    <s v="RE R-00008-00003266.pdf"/>
    <s v="SA"/>
    <n v="134873"/>
    <d v="2025-08-15T00:00:00"/>
    <s v="Gab_Hernandez"/>
    <n v="154818"/>
    <d v="2025-08-11T00:00:00"/>
    <d v="2025-08-11T00:00:00"/>
    <d v="2025-08-15T00:00:00"/>
    <d v="2025-08-15T00:00:00"/>
    <d v="2025-08-15T00:00:00"/>
    <d v="2025-08-15T00:00:00"/>
    <d v="2025-08-15T00:00:00"/>
    <m/>
    <m/>
    <m/>
    <m/>
    <m/>
    <m/>
    <s v="Pistachos "/>
    <n v="1"/>
    <n v="2"/>
  </r>
  <r>
    <n v="77682"/>
    <n v="2"/>
    <s v="1"/>
    <x v="47"/>
    <s v="TOST      "/>
    <x v="0"/>
    <s v="Pistachos"/>
    <s v="Pistachos                                         "/>
    <n v="60"/>
    <n v="14.75"/>
    <n v="60"/>
    <n v="60"/>
    <n v="600"/>
    <x v="0"/>
    <s v="Pistachos_Garbi               "/>
    <s v="COA"/>
    <s v="FV A-00006-00002656"/>
    <s v="FV A-00006-00002656(1).pdf"/>
    <s v="RE R-00008-00003228"/>
    <s v="RE R-00008-00003228.pdf"/>
    <s v="SA"/>
    <n v="134864"/>
    <d v="2025-08-15T00:00:00"/>
    <s v="Gab_Hernandez"/>
    <n v="155210"/>
    <d v="2025-08-14T00:00:00"/>
    <d v="2025-08-14T00:00:00"/>
    <d v="2025-08-15T00:00:00"/>
    <d v="2025-08-15T00:00:00"/>
    <d v="2025-08-15T00:00:00"/>
    <d v="2025-08-15T00:00:00"/>
    <d v="2025-08-15T00:00:00"/>
    <m/>
    <m/>
    <m/>
    <m/>
    <m/>
    <m/>
    <s v="Pistachos "/>
    <n v="60"/>
    <n v="120"/>
  </r>
  <r>
    <n v="77665"/>
    <n v="1"/>
    <s v="1"/>
    <x v="22"/>
    <s v="PEPA      "/>
    <x v="1"/>
    <s v="Pistachos"/>
    <s v="Pistachos                                         "/>
    <n v="840"/>
    <n v="26.3"/>
    <n v="840"/>
    <n v="840"/>
    <n v="8400"/>
    <x v="0"/>
    <s v="Pistachos_Garbi               "/>
    <s v="COA"/>
    <s v="FV A-00006-00002674"/>
    <s v="FV A-00006-00002674.pdf"/>
    <s v="RE R-00008-00003247"/>
    <s v="RE R-00008-00003247.pdf"/>
    <s v="SA"/>
    <n v="134877"/>
    <d v="2025-08-15T00:00:00"/>
    <s v="Gab_Hernandez"/>
    <n v="154652"/>
    <d v="2025-08-08T00:00:00"/>
    <d v="2025-08-08T00:00:00"/>
    <d v="2025-08-15T00:00:00"/>
    <d v="2025-08-15T00:00:00"/>
    <d v="2025-08-15T00:00:00"/>
    <d v="2025-08-15T00:00:00"/>
    <d v="2025-08-15T00:00:00"/>
    <m/>
    <m/>
    <m/>
    <m/>
    <m/>
    <m/>
    <s v="Pistachos "/>
    <n v="840"/>
    <n v="1680"/>
  </r>
  <r>
    <n v="77631"/>
    <n v="2"/>
    <s v="1"/>
    <x v="24"/>
    <s v="TOST      "/>
    <x v="0"/>
    <s v="Pistachos"/>
    <s v="Pistachos                                         "/>
    <n v="560"/>
    <n v="14.75"/>
    <n v="560"/>
    <n v="560"/>
    <n v="5600"/>
    <x v="0"/>
    <s v="Pistachos_Garbi               "/>
    <s v="COA"/>
    <s v="FV A-00006-00002679"/>
    <s v="FV A-00006-00002679.pdf"/>
    <s v="RE R-00008-00003252"/>
    <s v="RE R-00008-00003252.pdf"/>
    <s v="SA"/>
    <n v="134878"/>
    <d v="2025-08-15T00:00:00"/>
    <s v="Gab_Hernandez"/>
    <n v="154553"/>
    <d v="2025-08-08T00:00:00"/>
    <d v="2025-08-14T00:00:00"/>
    <d v="2025-08-15T00:00:00"/>
    <d v="2025-08-15T00:00:00"/>
    <d v="2025-08-15T00:00:00"/>
    <d v="2025-08-15T00:00:00"/>
    <d v="2025-08-15T00:00:00"/>
    <m/>
    <m/>
    <m/>
    <m/>
    <m/>
    <m/>
    <s v="Pistachos "/>
    <n v="560"/>
    <n v="1120"/>
  </r>
  <r>
    <n v="76579"/>
    <n v="2"/>
    <s v="1"/>
    <x v="16"/>
    <s v="TOST      "/>
    <x v="0"/>
    <s v="Pistachos"/>
    <s v="Pistachos                                         "/>
    <n v="70"/>
    <n v="17.75"/>
    <n v="70"/>
    <n v="70"/>
    <n v="700"/>
    <x v="0"/>
    <s v="Pistachos_Garbi               "/>
    <s v="COA"/>
    <s v="FV A-00006-00002686"/>
    <s v="FV A-00006-00002686(1).pdf"/>
    <s v="RE R-00008-00003260"/>
    <s v="RE R-00008-00003260.pdf"/>
    <s v="SA"/>
    <n v="134879"/>
    <d v="2025-08-15T00:00:00"/>
    <s v="Gab_Hernandez"/>
    <n v="149161"/>
    <d v="2025-07-08T00:00:00"/>
    <d v="2025-08-14T00:00:00"/>
    <d v="2025-08-15T00:00:00"/>
    <d v="2025-08-15T00:00:00"/>
    <d v="2025-08-15T00:00:00"/>
    <d v="2025-08-15T00:00:00"/>
    <d v="2025-08-15T00:00:00"/>
    <m/>
    <m/>
    <m/>
    <m/>
    <m/>
    <m/>
    <s v="Pistachos "/>
    <n v="70"/>
    <n v="140"/>
  </r>
  <r>
    <n v="76193"/>
    <n v="2"/>
    <s v="1"/>
    <x v="11"/>
    <s v="PIST004   "/>
    <x v="4"/>
    <s v="Pistachos"/>
    <s v="Pistachos                                         "/>
    <n v="420"/>
    <n v="31.3"/>
    <n v="420"/>
    <n v="420"/>
    <n v="4200"/>
    <x v="0"/>
    <s v="Pistachos_Garbi               "/>
    <s v="COA"/>
    <s v="FV A-00006-00002758"/>
    <s v="FV A-00006-00002758.pdf"/>
    <s v="RE R-00008-00003376"/>
    <s v="RE R-00008-00003376.pdf"/>
    <s v="SA"/>
    <n v="134998"/>
    <d v="2025-08-15T00:00:00"/>
    <s v="Gab_Hernandez"/>
    <n v="148405"/>
    <d v="2025-07-04T00:00:00"/>
    <d v="2025-07-04T00:00:00"/>
    <d v="2025-08-15T00:00:00"/>
    <d v="2025-08-15T00:00:00"/>
    <d v="2025-08-15T00:00:00"/>
    <d v="2025-08-15T00:00:00"/>
    <d v="2025-08-15T00:00:00"/>
    <m/>
    <m/>
    <m/>
    <m/>
    <m/>
    <m/>
    <s v="Pistachos "/>
    <n v="420"/>
    <n v="840"/>
  </r>
  <r>
    <n v="77906"/>
    <n v="1"/>
    <s v="2"/>
    <x v="63"/>
    <s v="PEPA      "/>
    <x v="1"/>
    <s v="Pistachos"/>
    <s v="Pistachos                                         "/>
    <n v="15"/>
    <n v="35.89"/>
    <n v="15"/>
    <n v="15"/>
    <n v="150"/>
    <x v="0"/>
    <s v="Pistachos_Garbi               "/>
    <s v="COA"/>
    <s v="FV A-00090-00030176"/>
    <s v="FV A-00090-00030176.pdf"/>
    <s v="RE R-00008-00003384"/>
    <s v="RE R-00008-00003384.pdf"/>
    <s v="SA"/>
    <n v="135115"/>
    <d v="2025-08-18T00:00:00"/>
    <s v="Gab_Hernandez"/>
    <n v="155789"/>
    <d v="2025-08-18T00:00:00"/>
    <d v="2025-08-18T00:00:00"/>
    <d v="2025-08-18T00:00:00"/>
    <d v="2025-08-18T00:00:00"/>
    <d v="2025-08-18T00:00:00"/>
    <d v="2025-08-18T00:00:00"/>
    <d v="2025-08-18T00:00:00"/>
    <m/>
    <m/>
    <m/>
    <m/>
    <m/>
    <m/>
    <s v="Pistachos "/>
    <n v="15"/>
    <n v="30"/>
  </r>
  <r>
    <n v="77905"/>
    <n v="1"/>
    <s v="1"/>
    <x v="63"/>
    <s v="PEPA      "/>
    <x v="1"/>
    <s v="Pistachos"/>
    <s v="Pistachos                                         "/>
    <n v="15"/>
    <n v="37"/>
    <n v="15"/>
    <n v="15"/>
    <n v="150"/>
    <x v="0"/>
    <s v="Pistachos_Garbi               "/>
    <s v="COA"/>
    <s v="FV A-00006-00003383"/>
    <s v="FV A-00006-00003383.pdf"/>
    <s v="RE R-00008-00003383"/>
    <s v="RE R-00008-00003383.pdf"/>
    <s v="SA"/>
    <n v="135116"/>
    <d v="2025-08-18T00:00:00"/>
    <s v="Gab_Hernandez"/>
    <n v="155788"/>
    <d v="2025-08-18T00:00:00"/>
    <d v="2025-08-18T00:00:00"/>
    <d v="2025-08-18T00:00:00"/>
    <d v="2025-08-18T00:00:00"/>
    <d v="2025-08-18T00:00:00"/>
    <d v="2025-08-18T00:00:00"/>
    <d v="2025-08-18T00:00:00"/>
    <m/>
    <m/>
    <m/>
    <m/>
    <m/>
    <m/>
    <s v="Pistachos "/>
    <n v="15"/>
    <n v="30"/>
  </r>
  <r>
    <n v="77903"/>
    <n v="2"/>
    <s v="1"/>
    <x v="64"/>
    <s v="PEPA      "/>
    <x v="1"/>
    <s v="Pistachos"/>
    <s v="Pistachos                                         "/>
    <n v="20"/>
    <n v="37"/>
    <n v="20"/>
    <n v="20"/>
    <n v="200"/>
    <x v="0"/>
    <s v="Pistachos_Garbi               "/>
    <s v="COA"/>
    <s v="FV A-00006-00002764"/>
    <s v="FV A-00006-00002764(1).pdf"/>
    <s v="RE R-00008-00003382"/>
    <s v="RE R-00008-00003382.pdf"/>
    <s v="SA"/>
    <n v="135113"/>
    <d v="2025-08-18T00:00:00"/>
    <s v="Gab_Hernandez"/>
    <n v="155786"/>
    <d v="2025-08-18T00:00:00"/>
    <d v="2025-08-18T00:00:00"/>
    <d v="2025-08-18T00:00:00"/>
    <d v="2025-08-18T00:00:00"/>
    <d v="2025-08-18T00:00:00"/>
    <d v="2025-08-18T00:00:00"/>
    <d v="2025-08-18T00:00:00"/>
    <m/>
    <m/>
    <m/>
    <m/>
    <m/>
    <m/>
    <s v="Pistachos "/>
    <n v="20"/>
    <n v="40"/>
  </r>
  <r>
    <n v="77903"/>
    <n v="1"/>
    <s v="1"/>
    <x v="64"/>
    <s v="TOST      "/>
    <x v="0"/>
    <s v="Pistachos"/>
    <s v="Pistachos                                         "/>
    <n v="20"/>
    <n v="20.8"/>
    <n v="20"/>
    <n v="20"/>
    <n v="200"/>
    <x v="0"/>
    <s v="Pistachos_Garbi               "/>
    <s v="COA"/>
    <s v="FV A-00006-00002764"/>
    <s v="FV A-00006-00002764.pdf"/>
    <s v="RE R-00008-00003382"/>
    <s v="RE R-00008-00003382.pdf"/>
    <s v="SA"/>
    <n v="135114"/>
    <d v="2025-08-18T00:00:00"/>
    <s v="Gab_Hernandez"/>
    <n v="155785"/>
    <d v="2025-08-18T00:00:00"/>
    <d v="2025-08-18T00:00:00"/>
    <d v="2025-08-18T00:00:00"/>
    <d v="2025-08-18T00:00:00"/>
    <d v="2025-08-18T00:00:00"/>
    <d v="2025-08-18T00:00:00"/>
    <d v="2025-08-18T00:00:00"/>
    <m/>
    <m/>
    <m/>
    <m/>
    <m/>
    <m/>
    <s v="Pistachos "/>
    <n v="20"/>
    <n v="40"/>
  </r>
  <r>
    <n v="77974"/>
    <n v="1"/>
    <s v="1"/>
    <x v="24"/>
    <s v="PIST001   "/>
    <x v="5"/>
    <s v="Pistachos"/>
    <s v="Pistachos                                         "/>
    <n v="70"/>
    <n v="19.05"/>
    <n v="70"/>
    <n v="70"/>
    <n v="700"/>
    <x v="0"/>
    <s v="Pistachos_Garbi               "/>
    <s v="COA"/>
    <s v="FV A-00006-00002766"/>
    <s v="FV A-00006-00002766.pdf"/>
    <s v="RE R-00008-00003385"/>
    <s v="RE R-00008-00003385.pdf"/>
    <s v="SA"/>
    <n v="135441"/>
    <d v="2025-08-19T00:00:00"/>
    <s v="Gab_Hernandez"/>
    <n v="156314"/>
    <d v="2025-08-19T00:00:00"/>
    <d v="2025-08-19T00:00:00"/>
    <d v="2025-08-19T00:00:00"/>
    <d v="2025-08-19T00:00:00"/>
    <d v="2025-08-19T00:00:00"/>
    <d v="2025-08-19T00:00:00"/>
    <d v="2025-08-19T00:00:00"/>
    <m/>
    <m/>
    <m/>
    <m/>
    <m/>
    <m/>
    <s v="Pistachos "/>
    <n v="70"/>
    <n v="140"/>
  </r>
  <r>
    <n v="77972"/>
    <n v="1"/>
    <s v="1"/>
    <x v="24"/>
    <s v="PIST004   "/>
    <x v="4"/>
    <s v="Pistachos"/>
    <s v="Pistachos                                         "/>
    <n v="70"/>
    <n v="37.9"/>
    <n v="70"/>
    <n v="70"/>
    <n v="700"/>
    <x v="0"/>
    <s v="Pistachos_Garbi               "/>
    <s v="COA"/>
    <s v="FV A-00006-00002766"/>
    <s v="FV A-00006-00002766(1).pdf"/>
    <s v="RE R-00008-00003385"/>
    <s v="RE R-00008-00003385.pdf"/>
    <s v="SA"/>
    <n v="135442"/>
    <d v="2025-08-19T00:00:00"/>
    <s v="Gab_Hernandez"/>
    <n v="156282"/>
    <d v="2025-08-19T00:00:00"/>
    <d v="2025-08-19T00:00:00"/>
    <d v="2025-08-19T00:00:00"/>
    <d v="2025-08-19T00:00:00"/>
    <d v="2025-08-19T00:00:00"/>
    <d v="2025-08-19T00:00:00"/>
    <d v="2025-08-19T00:00:00"/>
    <m/>
    <m/>
    <m/>
    <m/>
    <m/>
    <m/>
    <s v="Pistachos "/>
    <n v="70"/>
    <n v="140"/>
  </r>
  <r>
    <n v="78041"/>
    <n v="1"/>
    <s v="1"/>
    <x v="65"/>
    <s v="PIST004   "/>
    <x v="4"/>
    <s v="Pistachos"/>
    <s v="Pistachos                                         "/>
    <n v="1"/>
    <n v="27"/>
    <n v="1"/>
    <n v="1"/>
    <n v="10"/>
    <x v="0"/>
    <s v="Pistachos_Garbi               "/>
    <s v="COA"/>
    <s v="FV A-00006-00002768"/>
    <s v="FV A-00006-00002768.pdf"/>
    <s v="RE R-00008-00003387"/>
    <s v="RE R-00008-00003387.pdf"/>
    <s v="SA"/>
    <n v="135919"/>
    <d v="2025-08-21T00:00:00"/>
    <s v="Gab_Hernandez"/>
    <n v="156708"/>
    <d v="2025-08-21T00:00:00"/>
    <d v="2025-08-21T00:00:00"/>
    <d v="2025-08-21T00:00:00"/>
    <d v="2025-08-21T00:00:00"/>
    <d v="2025-08-21T00:00:00"/>
    <d v="2025-08-21T00:00:00"/>
    <d v="2025-08-21T00:00:00"/>
    <m/>
    <m/>
    <m/>
    <m/>
    <m/>
    <m/>
    <s v="Pistachos "/>
    <n v="1"/>
    <n v="2"/>
  </r>
  <r>
    <n v="78419"/>
    <n v="1"/>
    <s v="1"/>
    <x v="22"/>
    <s v="PIST003   "/>
    <x v="6"/>
    <s v="Pistachos"/>
    <s v="Pistachos                                         "/>
    <n v="10"/>
    <n v="25.067"/>
    <n v="10"/>
    <n v="10"/>
    <n v="100"/>
    <x v="0"/>
    <s v="Pistachos_Garbi               "/>
    <s v="COA"/>
    <s v="FV A-00090-00030298"/>
    <s v="FV A-00090-00030298.pdf"/>
    <s v="RE R-00008-00003394"/>
    <s v="RE R-00008-00003394.pdf"/>
    <s v="SA"/>
    <n v="137482"/>
    <d v="2025-09-02T00:00:00"/>
    <s v="Gab_Hernandez"/>
    <n v="158544"/>
    <d v="2025-09-01T00:00:00"/>
    <d v="2025-09-01T00:00:00"/>
    <d v="2025-09-01T00:00:00"/>
    <d v="2025-09-01T00:00:00"/>
    <d v="2025-09-01T00:00:00"/>
    <d v="2025-09-01T00:00:00"/>
    <d v="2025-09-01T00:00:00"/>
    <m/>
    <m/>
    <m/>
    <m/>
    <m/>
    <m/>
    <s v="Pistachos "/>
    <n v="10"/>
    <n v="20"/>
  </r>
  <r>
    <n v="77768"/>
    <n v="1"/>
    <s v="1"/>
    <x v="22"/>
    <s v="PIST002   "/>
    <x v="2"/>
    <s v="Pistachos"/>
    <s v="Pistachos                                         "/>
    <n v="350"/>
    <n v="28.9"/>
    <n v="350"/>
    <n v="350"/>
    <n v="3500"/>
    <x v="0"/>
    <s v="Pistachos_Garbi               "/>
    <s v="COA"/>
    <s v="FV A-00090-00030298"/>
    <s v="FV A-00090-00030298(1).pdf"/>
    <s v="RE R-00008-00003394"/>
    <s v="RE R-00008-00003394.pdf"/>
    <s v="SA"/>
    <n v="137574"/>
    <d v="2025-09-02T00:00:00"/>
    <s v="Gab_Hernandez"/>
    <n v="155024"/>
    <d v="2025-08-12T00:00:00"/>
    <d v="2025-09-02T00:00:00"/>
    <d v="2025-09-02T00:00:00"/>
    <d v="2025-09-02T00:00:00"/>
    <d v="2025-09-02T00:00:00"/>
    <d v="2025-09-02T00:00:00"/>
    <d v="2025-09-02T00:00:00"/>
    <m/>
    <m/>
    <m/>
    <m/>
    <m/>
    <m/>
    <s v="Pistachos "/>
    <n v="350"/>
    <n v="700"/>
  </r>
  <r>
    <n v="77767"/>
    <n v="2"/>
    <s v="1"/>
    <x v="22"/>
    <s v="PIST002   "/>
    <x v="2"/>
    <s v="Pistachos"/>
    <s v="Pistachos                                         "/>
    <n v="350"/>
    <n v="28"/>
    <n v="350"/>
    <n v="350"/>
    <n v="3500"/>
    <x v="0"/>
    <s v="Pistachos_Garbi               "/>
    <s v="COA"/>
    <s v="FV A-00090-00030298"/>
    <s v="FV A-00090-00030298(2).pdf"/>
    <s v="RE R-00008-00003395"/>
    <s v="RE R-00008-00003395.pdf"/>
    <s v="SA"/>
    <n v="137575"/>
    <d v="2025-09-02T00:00:00"/>
    <s v="Gab_Hernandez"/>
    <n v="155025"/>
    <d v="2025-08-12T00:00:00"/>
    <d v="2025-08-12T00:00:00"/>
    <d v="2025-09-02T00:00:00"/>
    <d v="2025-09-02T00:00:00"/>
    <d v="2025-09-02T00:00:00"/>
    <d v="2025-09-02T00:00:00"/>
    <d v="2025-09-02T00:00:00"/>
    <m/>
    <m/>
    <m/>
    <m/>
    <m/>
    <m/>
    <s v="Pistachos "/>
    <n v="350"/>
    <n v="700"/>
  </r>
  <r>
    <n v="76193"/>
    <n v="3"/>
    <s v="1"/>
    <x v="11"/>
    <s v="PIST004   "/>
    <x v="4"/>
    <s v="Pistachos"/>
    <s v="Pistachos                                         "/>
    <n v="140"/>
    <n v="31.3"/>
    <n v="140"/>
    <n v="140"/>
    <n v="1400"/>
    <x v="0"/>
    <s v="Pistachos_Garbi               "/>
    <s v="COA"/>
    <s v="FV A-00006-00002773"/>
    <s v="FV A-00006-00002773.pdf"/>
    <s v="RE R-00008-00003396"/>
    <s v="RE R-00008-00003396.pdf"/>
    <s v="SA"/>
    <n v="137584"/>
    <d v="2025-09-02T00:00:00"/>
    <s v="Gab_Hernandez"/>
    <n v="155697"/>
    <d v="2025-08-15T00:00:00"/>
    <d v="2025-09-02T00:00:00"/>
    <d v="2025-09-02T00:00:00"/>
    <d v="2025-09-02T00:00:00"/>
    <d v="2025-09-02T00:00:00"/>
    <d v="2025-09-02T00:00:00"/>
    <d v="2025-09-02T00:00:00"/>
    <m/>
    <m/>
    <m/>
    <m/>
    <m/>
    <m/>
    <s v="Pistachos "/>
    <n v="140"/>
    <n v="280"/>
  </r>
  <r>
    <n v="77872"/>
    <n v="2"/>
    <s v="1"/>
    <x v="3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777"/>
    <s v="FV A-00006-00002777.pdf"/>
    <s v="RE R-00008-00003401"/>
    <s v="RE R-00008-00003401.pdf"/>
    <s v="SA"/>
    <n v="137715"/>
    <d v="2025-09-03T00:00:00"/>
    <s v="Gab_Hernandez"/>
    <n v="155634"/>
    <d v="2025-08-15T00:00:00"/>
    <d v="2025-08-15T00:00:00"/>
    <d v="2025-09-03T00:00:00"/>
    <d v="2025-09-03T00:00:00"/>
    <d v="2025-09-03T00:00:00"/>
    <d v="2025-09-03T00:00:00"/>
    <d v="2025-09-03T00:00:00"/>
    <m/>
    <m/>
    <m/>
    <m/>
    <m/>
    <m/>
    <s v="Pistachos "/>
    <n v="70"/>
    <n v="140"/>
  </r>
  <r>
    <n v="77872"/>
    <n v="1"/>
    <s v="1"/>
    <x v="3"/>
    <s v="PIST002   "/>
    <x v="2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778"/>
    <s v="FV A-00006-00002778.pdf"/>
    <s v="RE R-00008-00003402"/>
    <s v="RE R-00008-00003402.pdf"/>
    <s v="SA"/>
    <n v="137716"/>
    <d v="2025-09-03T00:00:00"/>
    <s v="Gab_Hernandez"/>
    <n v="155633"/>
    <d v="2025-08-15T00:00:00"/>
    <d v="2025-08-15T00:00:00"/>
    <d v="2025-09-03T00:00:00"/>
    <d v="2025-09-03T00:00:00"/>
    <d v="2025-09-03T00:00:00"/>
    <d v="2025-09-03T00:00:00"/>
    <d v="2025-09-03T00:00:00"/>
    <m/>
    <m/>
    <m/>
    <m/>
    <m/>
    <m/>
    <s v="Pistachos "/>
    <n v="140"/>
    <n v="280"/>
  </r>
  <r>
    <n v="77734"/>
    <n v="6"/>
    <s v="1"/>
    <x v="37"/>
    <s v="PIST004   "/>
    <x v="4"/>
    <s v="Pistachos"/>
    <s v="Pistachos                                         "/>
    <n v="550"/>
    <n v="29.9"/>
    <n v="550"/>
    <n v="550"/>
    <n v="5500"/>
    <x v="0"/>
    <s v="Pistachos_Garbi               "/>
    <s v="COA"/>
    <s v="FV A-00006-00002779"/>
    <s v="FV A-00006-00002779.pdf"/>
    <s v="RE R-00008-00003403"/>
    <s v="RE R-00008-00003403.pdf"/>
    <s v="SA"/>
    <n v="137842"/>
    <d v="2025-09-03T00:00:00"/>
    <s v="Gab_Hernandez"/>
    <n v="154945"/>
    <d v="2025-08-12T00:00:00"/>
    <d v="2025-08-15T00:00:00"/>
    <d v="2025-09-03T00:00:00"/>
    <d v="2025-09-03T00:00:00"/>
    <d v="2025-09-03T00:00:00"/>
    <d v="2025-09-03T00:00:00"/>
    <d v="2025-09-03T00:00:00"/>
    <m/>
    <m/>
    <m/>
    <m/>
    <m/>
    <m/>
    <s v="Pistachos "/>
    <n v="550"/>
    <n v="1100"/>
  </r>
  <r>
    <n v="78574"/>
    <n v="2"/>
    <s v="1"/>
    <x v="22"/>
    <s v="PIST003   "/>
    <x v="6"/>
    <s v="Pistachos"/>
    <s v="Pistachos                                         "/>
    <n v="257"/>
    <n v="34.78"/>
    <n v="257"/>
    <n v="257"/>
    <n v="2570"/>
    <x v="0"/>
    <s v="Pistachos_Garbi               "/>
    <s v="COA"/>
    <s v="FV A-00006-00002781"/>
    <s v="FV A-00006-00002781.pdf"/>
    <s v="RE R-00008-00003407"/>
    <s v="RE R-00008-00003407.pdf"/>
    <s v="SA"/>
    <n v="138259"/>
    <d v="2025-09-05T00:00:00"/>
    <s v="Gab_Hernandez"/>
    <n v="159465"/>
    <d v="2025-09-05T00:00:00"/>
    <d v="2025-09-05T00:00:00"/>
    <d v="2025-09-05T00:00:00"/>
    <d v="2025-09-05T00:00:00"/>
    <d v="2025-09-05T00:00:00"/>
    <d v="2025-09-05T00:00:00"/>
    <d v="2025-09-05T00:00:00"/>
    <m/>
    <m/>
    <m/>
    <m/>
    <m/>
    <m/>
    <s v="Pistachos "/>
    <n v="257"/>
    <n v="514"/>
  </r>
  <r>
    <n v="78574"/>
    <n v="3"/>
    <s v="1"/>
    <x v="22"/>
    <s v="PIST003   "/>
    <x v="6"/>
    <s v="Pistachos"/>
    <s v="Pistachos                                         "/>
    <n v="63"/>
    <n v="34.78"/>
    <n v="63"/>
    <n v="63"/>
    <n v="630"/>
    <x v="0"/>
    <s v="Pistachos_Garbi               "/>
    <s v="COA"/>
    <s v="FV A-00090-00030356"/>
    <s v="FV A-00090-00030356.pdf"/>
    <s v="RE R-00008-00003408"/>
    <s v="RE R-00008-00003408.pdf"/>
    <s v="SA"/>
    <n v="138284"/>
    <d v="2025-09-05T00:00:00"/>
    <s v="Gab_Hernandez"/>
    <n v="159468"/>
    <d v="2025-09-05T00:00:00"/>
    <d v="2025-09-05T00:00:00"/>
    <d v="2025-09-05T00:00:00"/>
    <d v="2025-09-05T00:00:00"/>
    <d v="2025-09-05T00:00:00"/>
    <d v="2025-09-05T00:00:00"/>
    <d v="2025-09-05T00:00:00"/>
    <m/>
    <m/>
    <m/>
    <m/>
    <m/>
    <m/>
    <s v="Pistachos "/>
    <n v="63"/>
    <n v="126"/>
  </r>
  <r>
    <n v="78633"/>
    <n v="1"/>
    <s v="1"/>
    <x v="66"/>
    <s v="PIST003   "/>
    <x v="6"/>
    <s v="Pistachos"/>
    <s v="Pistachos                                         "/>
    <n v="1"/>
    <n v="35.15"/>
    <n v="1"/>
    <n v="1"/>
    <n v="10"/>
    <x v="0"/>
    <s v="Pistachos_Garbi               "/>
    <s v="COA"/>
    <s v="FV A-00006-00002784"/>
    <s v="FV A-00006-00002784.pdf"/>
    <s v="RE R-00008-00003411"/>
    <s v="RE R-00008-00003411.pdf"/>
    <s v="SA"/>
    <n v="138505"/>
    <d v="2025-09-08T00:00:00"/>
    <s v="Gab_Hernandez"/>
    <n v="159776"/>
    <d v="2025-09-08T00:00:00"/>
    <d v="2025-09-08T00:00:00"/>
    <d v="2025-09-08T00:00:00"/>
    <d v="2025-09-08T00:00:00"/>
    <d v="2025-09-08T00:00:00"/>
    <d v="2025-09-08T00:00:00"/>
    <d v="2025-09-08T00:00:00"/>
    <m/>
    <m/>
    <m/>
    <m/>
    <m/>
    <m/>
    <s v="Pistachos "/>
    <n v="1"/>
    <n v="2"/>
  </r>
  <r>
    <n v="78629"/>
    <n v="1"/>
    <s v="1"/>
    <x v="67"/>
    <s v="PIST007   "/>
    <x v="7"/>
    <s v="Pistachos"/>
    <s v="Pistachos                                         "/>
    <n v="35"/>
    <n v="38"/>
    <n v="35"/>
    <n v="35"/>
    <n v="350"/>
    <x v="0"/>
    <s v="Pistachos_Garbi               "/>
    <s v="COA"/>
    <s v="FV A-00006-00002783"/>
    <s v="FV A-00006-00002783.pdf"/>
    <s v="RE R-00008-00003410"/>
    <s v="RE R-00008-00003410.pdf"/>
    <s v="SA"/>
    <n v="138477"/>
    <d v="2025-09-08T00:00:00"/>
    <s v="Gab_Hernandez"/>
    <n v="159751"/>
    <d v="2025-09-08T00:00:00"/>
    <d v="2025-09-08T00:00:00"/>
    <d v="2025-09-08T00:00:00"/>
    <d v="2025-09-08T00:00:00"/>
    <d v="2025-09-08T00:00:00"/>
    <d v="2025-09-08T00:00:00"/>
    <d v="2025-09-08T00:00:00"/>
    <m/>
    <m/>
    <m/>
    <m/>
    <m/>
    <m/>
    <s v="Pistachos "/>
    <n v="35"/>
    <n v="70"/>
  </r>
  <r>
    <n v="78619"/>
    <n v="1"/>
    <s v="1"/>
    <x v="68"/>
    <s v="PIST007   "/>
    <x v="7"/>
    <s v="Pistachos"/>
    <s v="Pistachos                                         "/>
    <n v="1"/>
    <n v="38"/>
    <n v="1"/>
    <n v="1"/>
    <n v="10"/>
    <x v="0"/>
    <s v="Pistachos_Murillo             "/>
    <s v="COA"/>
    <s v="FV A-00006-00002782"/>
    <s v="FV A-00006-00002782.pdf"/>
    <s v="RE R-00008-00003409"/>
    <s v="RE R-00008-00003409.pdf"/>
    <s v="SA"/>
    <n v="138433"/>
    <d v="2025-09-08T00:00:00"/>
    <s v="Gab_Hernandez"/>
    <n v="159708"/>
    <d v="2025-09-08T00:00:00"/>
    <d v="2025-09-08T00:00:00"/>
    <d v="2025-09-08T00:00:00"/>
    <d v="2025-09-08T00:00:00"/>
    <d v="2025-09-08T00:00:00"/>
    <d v="2025-09-08T00:00:00"/>
    <d v="2025-09-08T00:00:00"/>
    <m/>
    <m/>
    <m/>
    <m/>
    <m/>
    <m/>
    <s v="Pistachos "/>
    <n v="1"/>
    <n v="2"/>
  </r>
  <r>
    <n v="78193"/>
    <n v="1"/>
    <s v="1"/>
    <x v="25"/>
    <s v="PIST001   "/>
    <x v="5"/>
    <s v="Pistachos"/>
    <s v="Pistachos                                         "/>
    <n v="30"/>
    <n v="20.8"/>
    <n v="30"/>
    <n v="30"/>
    <n v="300"/>
    <x v="0"/>
    <s v="Pistachos_Garbi               "/>
    <s v="COA"/>
    <s v="FV A-00006-00002769"/>
    <s v="FV A-00006-00002769.pdf"/>
    <s v="RE R-00008-00003389"/>
    <s v="RE R-00008-00003389.pdf"/>
    <s v="SA"/>
    <n v="136607"/>
    <d v="2025-09-08T00:00:00"/>
    <s v="Gab_Hernandez"/>
    <n v="157489"/>
    <d v="2025-08-25T00:00:00"/>
    <d v="2025-08-25T00:00:00"/>
    <d v="2025-08-25T00:00:00"/>
    <d v="2025-08-25T00:00:00"/>
    <d v="2025-08-25T00:00:00"/>
    <d v="2025-08-25T00:00:00"/>
    <d v="2025-09-08T00:00:00"/>
    <m/>
    <m/>
    <m/>
    <m/>
    <m/>
    <m/>
    <s v="Pistachos "/>
    <n v="30"/>
    <n v="60"/>
  </r>
  <r>
    <n v="77870"/>
    <n v="1"/>
    <s v="1"/>
    <x v="16"/>
    <s v="PIST002   "/>
    <x v="2"/>
    <s v="Pistachos"/>
    <s v="Pistachos                                         "/>
    <n v="140"/>
    <n v="26.3"/>
    <n v="140"/>
    <n v="140"/>
    <n v="1400"/>
    <x v="0"/>
    <s v="Pistachos_Garbi               "/>
    <s v="COA"/>
    <s v="FV A-00006-00002788"/>
    <s v="FV A-00006-00002788.pdf"/>
    <s v="RE R-00008-00003425"/>
    <s v="RE R-00008-00003425.pdf"/>
    <s v="SA"/>
    <n v="139388"/>
    <d v="2025-09-12T00:00:00"/>
    <s v="Gab_Hernandez"/>
    <n v="155628"/>
    <d v="2025-08-15T00:00:00"/>
    <d v="2025-08-15T00:00:00"/>
    <d v="2025-09-08T00:00:00"/>
    <d v="2025-09-12T00:00:00"/>
    <d v="2025-09-12T00:00:00"/>
    <d v="2025-09-12T00:00:00"/>
    <d v="2025-09-12T00:00:00"/>
    <m/>
    <m/>
    <m/>
    <m/>
    <m/>
    <m/>
    <s v="Pistachos "/>
    <n v="140"/>
    <n v="280"/>
  </r>
  <r>
    <n v="78610"/>
    <n v="1"/>
    <s v="1"/>
    <x v="69"/>
    <s v="PIST003   "/>
    <x v="6"/>
    <s v="Pistachos"/>
    <s v="Pistachos                                         "/>
    <n v="70"/>
    <n v="35.15"/>
    <n v="70"/>
    <n v="70"/>
    <n v="700"/>
    <x v="0"/>
    <s v="Pistachos_Garbi               "/>
    <s v="COA"/>
    <s v="FV A-00006-00002790"/>
    <s v="FV A-00006-00002790.pdf"/>
    <s v="RE R-00008-00003427"/>
    <s v="RE R-00008-00003427.pdf"/>
    <s v="SA"/>
    <n v="139494"/>
    <d v="2025-09-15T00:00:00"/>
    <s v="Gab_Hernandez"/>
    <n v="159660"/>
    <d v="2025-09-08T00:00:00"/>
    <d v="2025-09-08T00:00:00"/>
    <d v="2025-09-08T00:00:00"/>
    <d v="2025-09-15T00:00:00"/>
    <d v="2025-09-15T00:00:00"/>
    <d v="2025-09-15T00:00:00"/>
    <d v="2025-09-15T00:00:00"/>
    <m/>
    <m/>
    <m/>
    <m/>
    <m/>
    <m/>
    <s v="Pistachos "/>
    <n v="70"/>
    <n v="140"/>
  </r>
  <r>
    <n v="78569"/>
    <n v="1"/>
    <s v="1"/>
    <x v="3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793"/>
    <s v="FV A-00006-00002793.pdf"/>
    <s v="RE R-00008-00003430"/>
    <s v="RE R-00008-00003430.pdf"/>
    <s v="SA"/>
    <n v="139495"/>
    <d v="2025-09-15T00:00:00"/>
    <s v="Gab_Hernandez"/>
    <n v="159432"/>
    <d v="2025-09-05T00:00:00"/>
    <d v="2025-09-05T00:00:00"/>
    <d v="2025-09-08T00:00:00"/>
    <d v="2025-09-15T00:00:00"/>
    <d v="2025-09-15T00:00:00"/>
    <d v="2025-09-15T00:00:00"/>
    <d v="2025-09-15T00:00:00"/>
    <m/>
    <m/>
    <m/>
    <m/>
    <m/>
    <m/>
    <s v="Pistachos "/>
    <n v="70"/>
    <n v="140"/>
  </r>
  <r>
    <n v="78410"/>
    <n v="1"/>
    <s v="1"/>
    <x v="70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789"/>
    <s v="FV A-00006-00002789.pdf"/>
    <s v="RE R-00008-00003426"/>
    <s v="RE R-00008-00003426.pdf"/>
    <s v="SA"/>
    <n v="139493"/>
    <d v="2025-09-15T00:00:00"/>
    <s v="Gab_Hernandez"/>
    <n v="158496"/>
    <d v="2025-09-01T00:00:00"/>
    <d v="2025-09-01T00:00:00"/>
    <d v="2025-09-08T00:00:00"/>
    <d v="2025-09-15T00:00:00"/>
    <d v="2025-09-15T00:00:00"/>
    <d v="2025-09-15T00:00:00"/>
    <d v="2025-09-15T00:00:00"/>
    <m/>
    <m/>
    <m/>
    <m/>
    <m/>
    <m/>
    <s v="Pistachos "/>
    <n v="70"/>
    <n v="140"/>
  </r>
  <r>
    <n v="78359"/>
    <n v="1"/>
    <s v="1"/>
    <x v="71"/>
    <s v="PIST003   "/>
    <x v="6"/>
    <s v="Pistachos"/>
    <s v="Pistachos                                         "/>
    <n v="70"/>
    <n v="35.15"/>
    <n v="70"/>
    <n v="70"/>
    <n v="700"/>
    <x v="0"/>
    <s v="Pistachos_Garbi               "/>
    <s v="COA"/>
    <s v="FV A-00006-00002791"/>
    <s v="FV A-00006-00002791.pdf"/>
    <s v="RE R-00008-00003428"/>
    <s v="RE R-00008-00003428.pdf"/>
    <s v="SA"/>
    <n v="139496"/>
    <d v="2025-09-15T00:00:00"/>
    <s v="Gab_Hernandez"/>
    <n v="158252"/>
    <d v="2025-08-29T00:00:00"/>
    <d v="2025-08-29T00:00:00"/>
    <d v="2025-09-08T00:00:00"/>
    <d v="2025-09-15T00:00:00"/>
    <d v="2025-09-15T00:00:00"/>
    <d v="2025-09-15T00:00:00"/>
    <d v="2025-09-15T00:00:00"/>
    <m/>
    <m/>
    <m/>
    <m/>
    <m/>
    <m/>
    <s v="Pistachos "/>
    <n v="70"/>
    <n v="140"/>
  </r>
  <r>
    <n v="78946"/>
    <n v="1"/>
    <s v="1"/>
    <x v="32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796"/>
    <s v="FV A-00006-00002796.pdf"/>
    <s v="RE R-00008-00003434"/>
    <s v="RE R-00008-00003434.pdf"/>
    <s v="SA"/>
    <n v="139866"/>
    <d v="2025-09-16T00:00:00"/>
    <s v="Gab_Hernandez"/>
    <n v="161399"/>
    <d v="2025-09-16T00:00:00"/>
    <d v="2025-09-16T00:00:00"/>
    <d v="2025-09-16T00:00:00"/>
    <d v="2025-09-16T00:00:00"/>
    <d v="2025-09-16T00:00:00"/>
    <d v="2025-09-16T00:00:00"/>
    <d v="2025-09-16T00:00:00"/>
    <m/>
    <m/>
    <m/>
    <m/>
    <m/>
    <m/>
    <s v="Pistachos "/>
    <n v="70"/>
    <n v="140"/>
  </r>
  <r>
    <n v="78203"/>
    <n v="1"/>
    <s v="1"/>
    <x v="31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795"/>
    <s v="FV A-00006-00002795.pdf"/>
    <s v="RE R-00008-00003432"/>
    <s v="RE R-00008-00003432.pdf"/>
    <s v="SA"/>
    <n v="139650"/>
    <d v="2025-09-16T00:00:00"/>
    <s v="Gab_Hernandez"/>
    <n v="157529"/>
    <d v="2025-08-26T00:00:00"/>
    <d v="2025-08-26T00:00:00"/>
    <d v="2025-09-08T00:00:00"/>
    <d v="2025-09-16T00:00:00"/>
    <d v="2025-09-16T00:00:00"/>
    <d v="2025-09-16T00:00:00"/>
    <d v="2025-09-16T00:00:00"/>
    <m/>
    <m/>
    <m/>
    <m/>
    <m/>
    <m/>
    <s v="Pistachos "/>
    <n v="70"/>
    <n v="140"/>
  </r>
  <r>
    <n v="78910"/>
    <n v="1"/>
    <s v="1"/>
    <x v="33"/>
    <s v="PIST003   "/>
    <x v="6"/>
    <s v="Pistachos"/>
    <s v="Pistachos                                         "/>
    <n v="210"/>
    <n v="35.15"/>
    <n v="210"/>
    <n v="210"/>
    <n v="2100"/>
    <x v="0"/>
    <s v="Pistachos_Garbi               "/>
    <s v="COA"/>
    <s v="FV A-00006-00002797"/>
    <s v="FV A-00006-00002797.pdf"/>
    <s v="RE R-00008-00003435"/>
    <s v="RE R-00008-00003435.pdf"/>
    <s v="SA"/>
    <n v="139911"/>
    <d v="2025-09-17T00:00:00"/>
    <s v="Gab_Hernandez"/>
    <n v="161245"/>
    <d v="2025-09-16T00:00:00"/>
    <d v="2025-09-16T00:00:00"/>
    <d v="2025-09-17T00:00:00"/>
    <d v="2025-09-17T00:00:00"/>
    <d v="2025-09-17T00:00:00"/>
    <d v="2025-09-17T00:00:00"/>
    <d v="2025-09-17T00:00:00"/>
    <m/>
    <m/>
    <m/>
    <m/>
    <m/>
    <m/>
    <s v="Pistachos "/>
    <n v="210"/>
    <n v="420"/>
  </r>
  <r>
    <n v="77768"/>
    <n v="3"/>
    <s v="1"/>
    <x v="22"/>
    <s v="PIST002   "/>
    <x v="2"/>
    <s v="Pistachos"/>
    <s v="Pistachos                                         "/>
    <n v="350"/>
    <n v="28.9"/>
    <n v="350"/>
    <n v="350"/>
    <n v="3500"/>
    <x v="0"/>
    <s v="Pistachos_Garbi               "/>
    <s v="COA"/>
    <s v="FV A-00006-00002798"/>
    <s v="FV A-00006-00002798(1).pdf"/>
    <s v="RE R-00008-00003436"/>
    <s v="RE R-00008-00003436.pdf"/>
    <s v="SA"/>
    <n v="140008"/>
    <d v="2025-09-17T00:00:00"/>
    <s v="Gab_Hernandez"/>
    <n v="158637"/>
    <d v="2025-09-02T00:00:00"/>
    <d v="2025-09-02T00:00:00"/>
    <d v="2025-09-08T00:00:00"/>
    <d v="2025-09-17T00:00:00"/>
    <d v="2025-09-17T00:00:00"/>
    <d v="2025-09-17T00:00:00"/>
    <d v="2025-09-17T00:00:00"/>
    <m/>
    <m/>
    <m/>
    <m/>
    <m/>
    <m/>
    <s v="Pistachos "/>
    <n v="350"/>
    <n v="700"/>
  </r>
  <r>
    <n v="77768"/>
    <n v="2"/>
    <s v="1"/>
    <x v="22"/>
    <s v="PIST002   "/>
    <x v="2"/>
    <s v="Pistachos"/>
    <s v="Pistachos                                         "/>
    <n v="70"/>
    <n v="28.9"/>
    <n v="70"/>
    <n v="70"/>
    <n v="700"/>
    <x v="0"/>
    <s v="Pistachos_Garbi               "/>
    <s v="COA"/>
    <s v="FV A-00006-00002798"/>
    <s v="FV A-00006-00002798.pdf"/>
    <s v="RE R-00008-00003436"/>
    <s v="RE R-00008-00003436.pdf"/>
    <s v="SA"/>
    <n v="140010"/>
    <d v="2025-09-17T00:00:00"/>
    <s v="Gab_Hernandez"/>
    <n v="158545"/>
    <d v="2025-09-01T00:00:00"/>
    <d v="2025-09-02T00:00:00"/>
    <d v="2025-09-02T00:00:00"/>
    <d v="2025-09-17T00:00:00"/>
    <d v="2025-09-17T00:00:00"/>
    <d v="2025-09-17T00:00:00"/>
    <d v="2025-09-17T00:00:00"/>
    <m/>
    <m/>
    <m/>
    <m/>
    <m/>
    <m/>
    <s v="Pistachos "/>
    <n v="70"/>
    <n v="140"/>
  </r>
  <r>
    <n v="79044"/>
    <n v="1"/>
    <s v="1"/>
    <x v="31"/>
    <s v="PIST002   "/>
    <x v="2"/>
    <s v="Pistachos"/>
    <s v="Pistachos                                         "/>
    <n v="140"/>
    <n v="37"/>
    <n v="140"/>
    <n v="140"/>
    <n v="1400"/>
    <x v="0"/>
    <s v="Pistachos_Garbi               "/>
    <s v="COA"/>
    <s v="FV A-00006-00002799"/>
    <s v="FV A-00006-00002799.pdf"/>
    <s v="RE R-00008-00003438"/>
    <s v="RE R-00008-00003438.pdf"/>
    <s v="SA"/>
    <n v="140248"/>
    <d v="2025-09-19T00:00:00"/>
    <s v="Gab_Hernandez"/>
    <n v="161920"/>
    <d v="2025-09-19T00:00:00"/>
    <d v="2025-09-19T00:00:00"/>
    <d v="2025-09-19T00:00:00"/>
    <d v="2025-09-19T00:00:00"/>
    <d v="2025-09-19T00:00:00"/>
    <d v="2025-09-19T00:00:00"/>
    <d v="2025-09-19T00:00:00"/>
    <m/>
    <m/>
    <m/>
    <m/>
    <m/>
    <m/>
    <s v="Pistachos "/>
    <n v="140"/>
    <n v="280"/>
  </r>
  <r>
    <n v="79124"/>
    <n v="1"/>
    <s v="2"/>
    <x v="60"/>
    <s v="PIST001   "/>
    <x v="5"/>
    <s v="Pistachos"/>
    <s v="Pistachos                                         "/>
    <n v="140"/>
    <n v="17.57"/>
    <n v="140"/>
    <n v="140"/>
    <n v="1400"/>
    <x v="0"/>
    <s v="Pistachos_Garbi               "/>
    <s v="COA"/>
    <s v="FV B-00090-00003844"/>
    <s v="FV B-00090-00003844.pdf"/>
    <s v="RE R-00008-00003439"/>
    <s v="RE R-00008-00003439.pdf"/>
    <s v="SA"/>
    <n v="140766"/>
    <d v="2025-09-22T00:00:00"/>
    <s v="Gab_Hernandez"/>
    <n v="162508"/>
    <d v="2025-09-22T00:00:00"/>
    <d v="2025-09-22T00:00:00"/>
    <d v="2025-09-22T00:00:00"/>
    <d v="2025-09-22T00:00:00"/>
    <d v="2025-09-22T00:00:00"/>
    <d v="2025-09-22T00:00:00"/>
    <d v="2025-09-22T00:00:00"/>
    <m/>
    <m/>
    <m/>
    <m/>
    <m/>
    <m/>
    <s v="Pistachos "/>
    <n v="140"/>
    <n v="280"/>
  </r>
  <r>
    <n v="79197"/>
    <n v="1"/>
    <s v="1"/>
    <x v="32"/>
    <s v="PIST001   "/>
    <x v="5"/>
    <s v="Pistachos"/>
    <s v="Pistachos                                         "/>
    <n v="70"/>
    <n v="20.8"/>
    <n v="70"/>
    <n v="70"/>
    <n v="700"/>
    <x v="0"/>
    <s v="Pistachos_Garbi               "/>
    <s v="COA"/>
    <s v="FV A-00006-00002800"/>
    <s v="FV A-00006-00002800.pdf"/>
    <s v="RE R-00008-00003441"/>
    <s v="RE R-00008-00003441.pdf"/>
    <s v="SA"/>
    <n v="140894"/>
    <d v="2025-09-25T00:00:00"/>
    <s v="Gab_Hernandez"/>
    <n v="163012"/>
    <d v="2025-09-25T00:00:00"/>
    <d v="2025-09-25T00:00:00"/>
    <d v="2025-09-25T00:00:00"/>
    <d v="2025-09-25T00:00:00"/>
    <d v="2025-09-25T00:00:00"/>
    <d v="2025-09-25T00:00:00"/>
    <d v="2025-09-25T00:00:00"/>
    <m/>
    <m/>
    <m/>
    <m/>
    <m/>
    <m/>
    <s v="Pistachos "/>
    <n v="70"/>
    <n v="140"/>
  </r>
  <r>
    <n v="79291"/>
    <n v="1"/>
    <s v="2"/>
    <x v="27"/>
    <s v="PIST001   "/>
    <x v="5"/>
    <s v="Pistachos"/>
    <s v="Pistachos                                         "/>
    <n v="70"/>
    <n v="19.25"/>
    <n v="70"/>
    <n v="70"/>
    <n v="700"/>
    <x v="0"/>
    <s v="Pistachos_Garbi               "/>
    <s v="COA"/>
    <s v="FV A-00090-00030517"/>
    <s v="FV A-00090-00030517.pdf"/>
    <s v="RE R-00008-00003446"/>
    <s v="RE R-00008-00003446.pdf"/>
    <s v="SA"/>
    <n v="141561"/>
    <d v="2025-09-29T00:00:00"/>
    <s v="Gab_Hernandez"/>
    <n v="163494"/>
    <d v="2025-09-29T00:00:00"/>
    <d v="2025-09-29T00:00:00"/>
    <d v="2025-09-29T00:00:00"/>
    <d v="2025-09-29T00:00:00"/>
    <d v="2025-09-29T00:00:00"/>
    <d v="2025-09-29T00:00:00"/>
    <d v="2025-09-29T00:00:00"/>
    <m/>
    <m/>
    <m/>
    <m/>
    <m/>
    <m/>
    <s v="Pistachos "/>
    <n v="70"/>
    <n v="140"/>
  </r>
  <r>
    <n v="78049"/>
    <n v="1"/>
    <s v="1"/>
    <x v="37"/>
    <s v="PIST005   "/>
    <x v="8"/>
    <s v="Pistachos"/>
    <s v="Pistachos                                         "/>
    <n v="980"/>
    <n v="33"/>
    <n v="980"/>
    <n v="980"/>
    <n v="9800"/>
    <x v="0"/>
    <s v="Pistachos_Garbi               "/>
    <s v="COA"/>
    <s v="FV A-00006-00002802"/>
    <s v="FV A-00006-00002802.pdf"/>
    <s v="RE R-00008-00003443"/>
    <s v="RE R-00008-00003443.pdf"/>
    <s v="SA"/>
    <n v="141494"/>
    <d v="2025-09-29T00:00:00"/>
    <s v="Gab_Hernandez"/>
    <n v="156718"/>
    <d v="2025-08-21T00:00:00"/>
    <d v="2025-08-21T00:00:00"/>
    <d v="2025-08-28T00:00:00"/>
    <d v="2025-09-29T00:00:00"/>
    <d v="2025-09-29T00:00:00"/>
    <d v="2025-09-29T00:00:00"/>
    <d v="2025-09-29T00:00:00"/>
    <m/>
    <m/>
    <m/>
    <m/>
    <m/>
    <m/>
    <s v="Pistachos "/>
    <n v="980"/>
    <n v="1960"/>
  </r>
  <r>
    <n v="77734"/>
    <n v="4"/>
    <s v="1"/>
    <x v="37"/>
    <s v="PIST004   "/>
    <x v="4"/>
    <s v="Pistachos"/>
    <s v="Pistachos                                         "/>
    <n v="10"/>
    <n v="27.9"/>
    <n v="10"/>
    <n v="10"/>
    <n v="100"/>
    <x v="0"/>
    <s v="Pistachos_Garbi               "/>
    <s v="COA"/>
    <s v="FV A-00006-00002754"/>
    <s v="FV A-00006-00002754(1).pdf"/>
    <s v="RE R-00008-00003371"/>
    <s v="RE R-00008-00003371.pdf"/>
    <s v="SA"/>
    <n v="141496"/>
    <d v="2025-09-29T00:00:00"/>
    <s v="Gab_Hernandez"/>
    <n v="154941"/>
    <d v="2025-08-12T00:00:00"/>
    <d v="2025-09-26T00:00:00"/>
    <d v="2025-09-26T00:00:00"/>
    <d v="2025-09-29T00:00:00"/>
    <d v="2025-09-29T00:00:00"/>
    <d v="2025-09-29T00:00:00"/>
    <d v="2025-09-29T00:00:00"/>
    <m/>
    <m/>
    <m/>
    <m/>
    <m/>
    <m/>
    <s v="Pistachos "/>
    <n v="10"/>
    <n v="20"/>
  </r>
  <r>
    <n v="77734"/>
    <n v="5"/>
    <s v="1"/>
    <x v="37"/>
    <s v="PIST004   "/>
    <x v="4"/>
    <s v="Pistachos"/>
    <s v="Pistachos                                         "/>
    <n v="10"/>
    <n v="28.9"/>
    <n v="10"/>
    <n v="10"/>
    <n v="100"/>
    <x v="0"/>
    <s v="Pistachos_Garbi               "/>
    <s v="COA"/>
    <s v="FV A-00006-00002754"/>
    <s v="FV A-00006-00002754(2).pdf"/>
    <s v="RE R-00008-00003371"/>
    <s v="RE R-00008-00003371.pdf"/>
    <s v="SA"/>
    <n v="141495"/>
    <d v="2025-09-29T00:00:00"/>
    <s v="Gab_Hernandez"/>
    <n v="154943"/>
    <d v="2025-08-12T00:00:00"/>
    <d v="2025-09-25T00:00:00"/>
    <d v="2025-09-26T00:00:00"/>
    <d v="2025-09-29T00:00:00"/>
    <d v="2025-09-29T00:00:00"/>
    <d v="2025-09-29T00:00:00"/>
    <d v="2025-09-29T00:00:00"/>
    <m/>
    <m/>
    <m/>
    <m/>
    <m/>
    <m/>
    <s v="Pistachos "/>
    <n v="10"/>
    <n v="20"/>
  </r>
  <r>
    <n v="78574"/>
    <n v="4"/>
    <s v="1"/>
    <x v="22"/>
    <s v="PIST003   "/>
    <x v="6"/>
    <s v="Pistachos"/>
    <s v="Pistachos                                         "/>
    <n v="210"/>
    <n v="34.78"/>
    <n v="210"/>
    <n v="210"/>
    <n v="2100"/>
    <x v="0"/>
    <s v="Pistachos_Garbi               "/>
    <s v="COA"/>
    <s v="FV A-00006-00002807"/>
    <s v="FV A-00006-00002807.pdf"/>
    <s v="RE R-00008-00003450"/>
    <s v="RE R-00008-00003450.pdf"/>
    <s v="SA"/>
    <n v="142261"/>
    <d v="2025-10-03T00:00:00"/>
    <s v="Gab_Hernandez"/>
    <n v="159496"/>
    <d v="2025-09-05T00:00:00"/>
    <d v="2025-09-05T00:00:00"/>
    <d v="2025-09-08T00:00:00"/>
    <d v="2025-10-03T00:00:00"/>
    <d v="2025-10-03T00:00:00"/>
    <d v="2025-10-03T00:00:00"/>
    <d v="2025-10-03T00:00:00"/>
    <m/>
    <m/>
    <m/>
    <m/>
    <m/>
    <m/>
    <s v="Pistachos "/>
    <n v="210"/>
    <n v="420"/>
  </r>
  <r>
    <n v="78574"/>
    <n v="1"/>
    <s v="1"/>
    <x v="22"/>
    <s v="PIST002   "/>
    <x v="2"/>
    <s v="Pistachos"/>
    <s v="Pistachos                                         "/>
    <n v="210"/>
    <n v="37"/>
    <n v="210"/>
    <n v="210"/>
    <n v="2100"/>
    <x v="0"/>
    <s v="Pistachos_Garbi               "/>
    <s v="COA"/>
    <s v="FV A-00006-00002807"/>
    <s v="FV A-00006-00002807(1).pdf"/>
    <s v="RE R-00008-00003450"/>
    <s v="RE R-00008-00003450.pdf"/>
    <s v="SA"/>
    <n v="142262"/>
    <d v="2025-10-03T00:00:00"/>
    <s v="Gab_Hernandez"/>
    <n v="159464"/>
    <d v="2025-09-05T00:00:00"/>
    <d v="2025-09-05T00:00:00"/>
    <d v="2025-09-05T00:00:00"/>
    <d v="2025-10-03T00:00:00"/>
    <d v="2025-10-03T00:00:00"/>
    <d v="2025-10-03T00:00:00"/>
    <d v="2025-10-03T00:00:00"/>
    <m/>
    <m/>
    <m/>
    <m/>
    <m/>
    <m/>
    <s v="Pistachos "/>
    <n v="210"/>
    <n v="420"/>
  </r>
  <r>
    <n v="79546"/>
    <n v="1"/>
    <s v="1"/>
    <x v="31"/>
    <s v="PIST005   "/>
    <x v="8"/>
    <s v="Pistachos"/>
    <s v="Pistachos                                         "/>
    <n v="70"/>
    <n v="36"/>
    <n v="70"/>
    <n v="70"/>
    <n v="700"/>
    <x v="0"/>
    <s v="Pistachos_Garbi               "/>
    <s v="COA"/>
    <s v="FV A-00006-00002810"/>
    <s v="FV A-00006-00002810.pdf"/>
    <s v="RE R-00008-00003453"/>
    <s v="RE R-00008-00003453.pdf"/>
    <s v="SA"/>
    <n v="142855"/>
    <d v="2025-10-09T00:00:00"/>
    <s v="Gab_Hernandez"/>
    <n v="164858"/>
    <d v="2025-10-09T00:00:00"/>
    <d v="2025-10-09T00:00:00"/>
    <d v="2025-10-09T00:00:00"/>
    <d v="2025-10-09T00:00:00"/>
    <d v="2025-10-09T00:00:00"/>
    <d v="2025-10-09T00:00:00"/>
    <d v="2025-10-09T00:00:00"/>
    <m/>
    <m/>
    <m/>
    <m/>
    <m/>
    <m/>
    <s v="Pistachos "/>
    <n v="70"/>
    <n v="140"/>
  </r>
  <r>
    <n v="79530"/>
    <n v="1"/>
    <s v="1"/>
    <x v="72"/>
    <s v="PIST007   "/>
    <x v="7"/>
    <s v="Pistachos"/>
    <s v="Pistachos                                         "/>
    <n v="35"/>
    <n v="38"/>
    <n v="35"/>
    <n v="35"/>
    <n v="350"/>
    <x v="0"/>
    <s v="Pistachos_Garbi               "/>
    <s v="COA"/>
    <s v="FV A-00006-00002811"/>
    <s v="FV A-00006-00002811.pdf"/>
    <s v="RE R-00008-00003454"/>
    <s v="RE R-00008-00003454.pdf"/>
    <s v="SA"/>
    <n v="142710"/>
    <d v="2025-10-09T00:00:00"/>
    <s v="Gab_Hernandez"/>
    <n v="164803"/>
    <d v="2025-10-09T00:00:00"/>
    <d v="2025-10-09T00:00:00"/>
    <d v="2025-10-09T00:00:00"/>
    <d v="2025-10-09T00:00:00"/>
    <d v="2025-10-09T00:00:00"/>
    <d v="2025-10-09T00:00:00"/>
    <d v="2025-10-09T00:00:00"/>
    <m/>
    <m/>
    <m/>
    <m/>
    <m/>
    <m/>
    <s v="Pistachos "/>
    <n v="35"/>
    <n v="70"/>
  </r>
  <r>
    <n v="78783"/>
    <n v="1"/>
    <s v="1"/>
    <x v="73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828"/>
    <s v="FV A-00006-00002828.pdf"/>
    <s v="RE R-00008-00003451"/>
    <s v="RE R-00008-00003451.pdf"/>
    <s v="SA"/>
    <n v="142861"/>
    <d v="2025-10-09T00:00:00"/>
    <s v="Gab_Hernandez"/>
    <n v="160578"/>
    <d v="2025-09-11T00:00:00"/>
    <d v="2025-10-09T00:00:00"/>
    <d v="2025-10-09T00:00:00"/>
    <d v="2025-10-09T00:00:00"/>
    <d v="2025-10-09T00:00:00"/>
    <d v="2025-10-09T00:00:00"/>
    <d v="2025-10-09T00:00:00"/>
    <m/>
    <m/>
    <m/>
    <m/>
    <m/>
    <m/>
    <s v="Pistachos "/>
    <n v="70"/>
    <n v="140"/>
  </r>
  <r>
    <n v="78611"/>
    <n v="1"/>
    <s v="1"/>
    <x v="74"/>
    <s v="PIST004   "/>
    <x v="4"/>
    <s v="Pistachos"/>
    <s v="Pistachos                                         "/>
    <n v="70"/>
    <n v="37.9"/>
    <n v="70"/>
    <n v="70"/>
    <n v="700"/>
    <x v="0"/>
    <s v="Pistachos_Garbi               "/>
    <s v="COA"/>
    <s v="FV A-00006-00002805"/>
    <s v="FV A-00006-00002805.pdf"/>
    <s v="RE R-00008-00003448"/>
    <s v="RE R-00008-00003448.pdf"/>
    <s v="SA"/>
    <n v="142720"/>
    <d v="2025-10-09T00:00:00"/>
    <s v="Gab_Hernandez"/>
    <n v="159661"/>
    <d v="2025-09-08T00:00:00"/>
    <d v="2025-09-08T00:00:00"/>
    <d v="2025-09-08T00:00:00"/>
    <d v="2025-10-09T00:00:00"/>
    <d v="2025-10-09T00:00:00"/>
    <d v="2025-10-09T00:00:00"/>
    <d v="2025-10-09T00:00:00"/>
    <m/>
    <m/>
    <m/>
    <m/>
    <m/>
    <m/>
    <s v="Pistachos "/>
    <n v="70"/>
    <n v="140"/>
  </r>
  <r>
    <n v="78205"/>
    <n v="1"/>
    <s v="1"/>
    <x v="31"/>
    <s v="PIST004   "/>
    <x v="4"/>
    <s v="Pistachos"/>
    <s v="Pistachos                                         "/>
    <n v="70"/>
    <n v="37.9"/>
    <n v="70"/>
    <n v="70"/>
    <n v="700"/>
    <x v="0"/>
    <s v="Pistachos_Garbi               "/>
    <s v="COA"/>
    <s v="FV A-00006-00002809"/>
    <s v="FV A-00006-00002809.pdf"/>
    <s v="RE R-00008-00003452"/>
    <s v="RE R-00008-00003452.pdf"/>
    <s v="SA"/>
    <n v="142856"/>
    <d v="2025-10-09T00:00:00"/>
    <s v="Gab_Hernandez"/>
    <n v="157531"/>
    <d v="2025-08-26T00:00:00"/>
    <d v="2025-08-26T00:00:00"/>
    <d v="2025-09-08T00:00:00"/>
    <d v="2025-10-09T00:00:00"/>
    <d v="2025-10-09T00:00:00"/>
    <d v="2025-10-09T00:00:00"/>
    <d v="2025-10-09T00:00:00"/>
    <m/>
    <m/>
    <m/>
    <m/>
    <m/>
    <m/>
    <s v="Pistachos "/>
    <n v="70"/>
    <n v="140"/>
  </r>
  <r>
    <n v="79578"/>
    <n v="1"/>
    <s v="1"/>
    <x v="70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806"/>
    <s v="FV A-00006-00002806.pdf"/>
    <s v="RE R-00008-00003449"/>
    <s v="RE R-00008-00003449.pdf"/>
    <s v="SA"/>
    <n v="143312"/>
    <d v="2025-10-16T00:00:00"/>
    <s v="Gab_Hernandez"/>
    <n v="164970"/>
    <d v="2025-10-13T00:00:00"/>
    <d v="2025-10-16T00:00:00"/>
    <d v="2025-10-16T00:00:00"/>
    <d v="2025-10-16T00:00:00"/>
    <d v="2025-10-16T00:00:00"/>
    <d v="2025-10-16T00:00:00"/>
    <d v="2025-10-16T00:00:00"/>
    <m/>
    <m/>
    <m/>
    <m/>
    <m/>
    <m/>
    <s v="Pistachos "/>
    <n v="70"/>
    <n v="140"/>
  </r>
  <r>
    <n v="79077"/>
    <n v="1"/>
    <s v="1"/>
    <x v="37"/>
    <s v="PIST005   "/>
    <x v="8"/>
    <s v="Pistachos"/>
    <s v="Pistachos                                         "/>
    <n v="1050"/>
    <n v="33"/>
    <n v="1050"/>
    <n v="1050"/>
    <n v="10500"/>
    <x v="0"/>
    <s v="Pistachos_Garbi               "/>
    <s v="COA"/>
    <s v="FV A-00006-00002812"/>
    <s v="FV A-00006-00002812.pdf"/>
    <s v="RE R-00008-00003455"/>
    <s v="RE R-00008-00003455.pdf"/>
    <s v="SA"/>
    <n v="143324"/>
    <d v="2025-10-16T00:00:00"/>
    <s v="Gab_Hernandez"/>
    <n v="162169"/>
    <d v="2025-09-19T00:00:00"/>
    <d v="2025-10-16T00:00:00"/>
    <d v="2025-10-16T00:00:00"/>
    <d v="2025-10-16T00:00:00"/>
    <d v="2025-10-16T00:00:00"/>
    <d v="2025-10-16T00:00:00"/>
    <d v="2025-10-16T00:00:00"/>
    <m/>
    <m/>
    <m/>
    <m/>
    <m/>
    <m/>
    <s v="Pistachos "/>
    <n v="1050"/>
    <n v="2100"/>
  </r>
  <r>
    <n v="78574"/>
    <n v="5"/>
    <s v="1"/>
    <x v="22"/>
    <s v="PIST004   "/>
    <x v="4"/>
    <s v="Pistachos"/>
    <s v="Pistachos                                         "/>
    <n v="420"/>
    <n v="37"/>
    <n v="420"/>
    <n v="420"/>
    <n v="4200"/>
    <x v="0"/>
    <s v="Pistachos_Garbi               "/>
    <s v="COA"/>
    <s v="FV A-00006-00002813"/>
    <s v="FV A-00006-00002813.pdf"/>
    <s v="RE R-00008-00003457"/>
    <s v="RE R-00008-00003457.pdf"/>
    <s v="SA"/>
    <n v="143412"/>
    <d v="2025-10-17T00:00:00"/>
    <s v="Gab_Hernandez"/>
    <n v="164422"/>
    <d v="2025-10-03T00:00:00"/>
    <d v="2025-10-17T00:00:00"/>
    <d v="2025-10-17T00:00:00"/>
    <d v="2025-10-17T00:00:00"/>
    <d v="2025-10-17T00:00:00"/>
    <d v="2025-10-17T00:00:00"/>
    <d v="2025-10-17T00:00:00"/>
    <m/>
    <m/>
    <m/>
    <m/>
    <m/>
    <m/>
    <s v="Pistachos "/>
    <n v="420"/>
    <n v="840"/>
  </r>
  <r>
    <n v="79882"/>
    <n v="1"/>
    <s v="2"/>
    <x v="5"/>
    <s v="PIST001   "/>
    <x v="5"/>
    <s v="Pistachos"/>
    <s v="Pistachos                                         "/>
    <n v="70"/>
    <n v="18.18"/>
    <n v="70"/>
    <n v="70"/>
    <n v="700"/>
    <x v="0"/>
    <s v="Pistachos_Garbi               "/>
    <s v="COA"/>
    <s v="FV B-00090-00000001"/>
    <s v="FV B-00090-00000001.pdf"/>
    <s v="RE R-00008-00003459"/>
    <s v="RE R-00008-00003459.pdf"/>
    <s v="SA"/>
    <n v="144063"/>
    <d v="2025-10-20T00:00:00"/>
    <s v="Gab_Hernandez"/>
    <n v="166815"/>
    <d v="2025-10-20T00:00:00"/>
    <d v="2025-10-20T00:00:00"/>
    <d v="2025-10-20T00:00:00"/>
    <d v="2025-10-20T00:00:00"/>
    <d v="2025-10-20T00:00:00"/>
    <d v="2025-10-20T00:00:00"/>
    <d v="2025-10-20T00:00:00"/>
    <m/>
    <m/>
    <m/>
    <m/>
    <m/>
    <m/>
    <s v="Pistachos "/>
    <n v="70"/>
    <n v="140"/>
  </r>
  <r>
    <n v="80035"/>
    <n v="1"/>
    <s v="1"/>
    <x v="75"/>
    <s v="PIST007   "/>
    <x v="7"/>
    <s v="Pistachos"/>
    <s v="Pistachos                                         "/>
    <n v="35"/>
    <n v="38"/>
    <n v="35"/>
    <n v="35"/>
    <n v="350"/>
    <x v="0"/>
    <s v="Pistachos_Garbi               "/>
    <s v="COA"/>
    <s v="FV A-00006-00002815"/>
    <s v="FV A-00006-00002815.pdf"/>
    <s v="RE R-00008-00003461"/>
    <s v="RE R-00008-00003461.pdf"/>
    <s v="SA"/>
    <n v="144852"/>
    <d v="2025-10-23T00:00:00"/>
    <s v="Gab_Hernandez"/>
    <n v="167784"/>
    <d v="2025-10-23T00:00:00"/>
    <d v="2025-10-23T00:00:00"/>
    <d v="2025-10-23T00:00:00"/>
    <d v="2025-10-23T00:00:00"/>
    <d v="2025-10-23T00:00:00"/>
    <d v="2025-10-23T00:00:00"/>
    <d v="2025-10-23T00:00:00"/>
    <m/>
    <m/>
    <m/>
    <m/>
    <m/>
    <m/>
    <s v="Pistachos "/>
    <n v="35"/>
    <n v="70"/>
  </r>
  <r>
    <n v="80115"/>
    <n v="1"/>
    <s v="1"/>
    <x v="76"/>
    <s v="PIST007   "/>
    <x v="7"/>
    <s v="Pistachos"/>
    <s v="Pistachos                                         "/>
    <n v="35"/>
    <n v="38"/>
    <n v="35"/>
    <n v="35"/>
    <n v="350"/>
    <x v="0"/>
    <s v="Pistachos_Garbi               "/>
    <s v="COA"/>
    <s v="FV A-00006-00002816"/>
    <s v="FV A-00006-00002816.pdf"/>
    <s v="RE R-00008-00003463"/>
    <s v="RE R-00008-00003463.pdf"/>
    <s v="SA"/>
    <n v="145558"/>
    <d v="2025-10-27T00:00:00"/>
    <s v="Gab_Hernandez"/>
    <n v="168200"/>
    <d v="2025-10-27T00:00:00"/>
    <d v="2025-10-27T00:00:00"/>
    <d v="2025-10-27T00:00:00"/>
    <d v="2025-10-27T00:00:00"/>
    <d v="2025-10-27T00:00:00"/>
    <d v="2025-10-27T00:00:00"/>
    <d v="2025-10-27T00:00:00"/>
    <m/>
    <m/>
    <m/>
    <m/>
    <m/>
    <m/>
    <s v="Pistachos "/>
    <n v="35"/>
    <n v="70"/>
  </r>
  <r>
    <n v="80380"/>
    <n v="1"/>
    <s v="1"/>
    <x v="16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819"/>
    <s v="FV A-00006-00002819.pdf"/>
    <s v="RE R-00008-00003465"/>
    <s v="RE R-00008-00003465.pdf"/>
    <s v="SA"/>
    <n v="146959"/>
    <d v="2025-11-04T00:00:00"/>
    <s v="Gab_Hernandez"/>
    <n v="169997"/>
    <d v="2025-11-04T00:00:00"/>
    <d v="2025-11-04T00:00:00"/>
    <d v="2025-11-04T00:00:00"/>
    <d v="2025-11-04T00:00:00"/>
    <d v="2025-11-04T00:00:00"/>
    <d v="2025-11-04T00:00:00"/>
    <d v="2025-11-04T00:00:00"/>
    <m/>
    <m/>
    <m/>
    <m/>
    <m/>
    <m/>
    <s v="Pistachos "/>
    <n v="70"/>
    <n v="140"/>
  </r>
  <r>
    <n v="80428"/>
    <n v="1"/>
    <s v="2"/>
    <x v="22"/>
    <s v="PIST005   "/>
    <x v="8"/>
    <s v="Pistachos"/>
    <s v="Pistachos                                         "/>
    <n v="210"/>
    <n v="31.76"/>
    <n v="210"/>
    <n v="210"/>
    <n v="2100"/>
    <x v="0"/>
    <s v="Pistachos_Garbi               "/>
    <s v="COA"/>
    <s v="FV A-00090-00000003"/>
    <s v="FV A-00090-00000003.pdf"/>
    <s v="RE R-00090-00000004"/>
    <s v="RE R-00090-00000004.pdf"/>
    <s v="SA"/>
    <n v="147380"/>
    <d v="2025-11-05T00:00:00"/>
    <s v="Gab_Hernandez"/>
    <n v="170249"/>
    <d v="2025-11-05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210"/>
    <n v="420"/>
  </r>
  <r>
    <n v="80410"/>
    <n v="1"/>
    <s v="1"/>
    <x v="77"/>
    <s v="PIST005   "/>
    <x v="8"/>
    <s v="Pistachos"/>
    <s v="Pistachos                                         "/>
    <n v="70"/>
    <n v="33"/>
    <n v="70"/>
    <n v="70"/>
    <n v="700"/>
    <x v="0"/>
    <s v="Pistachos_Garbi               "/>
    <s v="COA"/>
    <s v="FV E-00007-00000079"/>
    <s v="FV E-00007-00000079.pdf"/>
    <s v="RE E-00007-00000079"/>
    <s v="RE E-00007-00000079.pdf"/>
    <s v="SA"/>
    <n v="147293"/>
    <d v="2025-11-05T00:00:00"/>
    <s v="Gab_Hernandez"/>
    <n v="170184"/>
    <d v="2025-11-05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70"/>
    <n v="140"/>
  </r>
  <r>
    <n v="79757"/>
    <n v="1"/>
    <s v="1"/>
    <x v="22"/>
    <s v="PIST003   "/>
    <x v="6"/>
    <s v="Pistachos"/>
    <s v="Pistachos                                         "/>
    <n v="140"/>
    <n v="37"/>
    <n v="140"/>
    <n v="140"/>
    <n v="1400"/>
    <x v="0"/>
    <s v="Pistachos_Garbi               "/>
    <s v="COA"/>
    <s v="FV A-00006-00002822"/>
    <s v="FV A-00006-00002822.pdf"/>
    <s v="RE R-00008-00003469"/>
    <s v="RE R-00008-00003469.pdf"/>
    <s v="SA"/>
    <n v="147375"/>
    <d v="2025-11-05T00:00:00"/>
    <s v="Gab_Hernandez"/>
    <n v="166054"/>
    <d v="2025-10-17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140"/>
    <n v="280"/>
  </r>
  <r>
    <n v="78574"/>
    <n v="6"/>
    <s v="1"/>
    <x v="22"/>
    <s v="PIST005   "/>
    <x v="8"/>
    <s v="Pistachos"/>
    <s v="Pistachos                                         "/>
    <n v="70"/>
    <n v="34.78"/>
    <n v="70"/>
    <n v="70"/>
    <n v="700"/>
    <x v="0"/>
    <s v="Pistachos_Garbi               "/>
    <s v="COA"/>
    <s v="FV A-00006-00002822"/>
    <s v="FV A-00006-00002822(1).pdf"/>
    <s v="RE R-00008-00003469"/>
    <s v="RE R-00008-00003469.pdf"/>
    <s v="SA"/>
    <n v="147376"/>
    <d v="2025-11-05T00:00:00"/>
    <s v="Gab_Hernandez"/>
    <n v="164423"/>
    <d v="2025-10-03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70"/>
    <n v="140"/>
  </r>
  <r>
    <n v="78049"/>
    <n v="2"/>
    <s v="1"/>
    <x v="37"/>
    <s v="PIST005   "/>
    <x v="8"/>
    <s v="Pistachos"/>
    <s v="Pistachos                                         "/>
    <n v="140"/>
    <n v="33"/>
    <n v="140"/>
    <n v="140"/>
    <n v="1400"/>
    <x v="0"/>
    <s v="Pistachos_Garbi               "/>
    <s v="COA"/>
    <s v="FV A-00006-00002823"/>
    <s v="FV A-00006-00002823.pdf"/>
    <s v="RE R-00008-00003470"/>
    <s v="RE R-00008-00003470.pdf"/>
    <s v="SA"/>
    <n v="147396"/>
    <d v="2025-11-05T00:00:00"/>
    <s v="Gab_Hernandez"/>
    <n v="163437"/>
    <d v="2025-09-29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140"/>
    <n v="280"/>
  </r>
  <r>
    <n v="77734"/>
    <n v="9"/>
    <s v="1"/>
    <x v="37"/>
    <s v="PIST005   "/>
    <x v="8"/>
    <s v="Pistachos"/>
    <s v="Pistachos                                         "/>
    <n v="70"/>
    <n v="33"/>
    <n v="70"/>
    <n v="70"/>
    <n v="700"/>
    <x v="0"/>
    <s v="Pistachos_Garbi               "/>
    <s v="COA"/>
    <s v="FV A-00006-00002823"/>
    <s v="FV A-00006-00002823(1).pdf"/>
    <s v="RE R-00008-00003470"/>
    <s v="RE R-00008-00003470.pdf"/>
    <s v="SA"/>
    <n v="147397"/>
    <d v="2025-11-05T00:00:00"/>
    <s v="Gab_Hernandez"/>
    <n v="163439"/>
    <d v="2025-09-29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70"/>
    <n v="140"/>
  </r>
  <r>
    <n v="77734"/>
    <n v="8"/>
    <s v="1"/>
    <x v="37"/>
    <s v="PIST005   "/>
    <x v="8"/>
    <s v="Pistachos"/>
    <s v="Pistachos                                         "/>
    <n v="70"/>
    <n v="33"/>
    <n v="70"/>
    <n v="70"/>
    <n v="700"/>
    <x v="0"/>
    <s v="Pistachos_Garbi               "/>
    <s v="COA"/>
    <s v="FV A-00006-00002823"/>
    <s v="FV A-00006-00002823(2).pdf"/>
    <s v="RE R-00008-00003470"/>
    <s v="RE R-00008-00003470.pdf"/>
    <s v="SA"/>
    <n v="147398"/>
    <d v="2025-11-05T00:00:00"/>
    <s v="Gab_Hernandez"/>
    <n v="163438"/>
    <d v="2025-09-29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70"/>
    <n v="140"/>
  </r>
  <r>
    <n v="77734"/>
    <n v="7"/>
    <s v="1"/>
    <x v="37"/>
    <s v="PIST005   "/>
    <x v="8"/>
    <s v="Pistachos"/>
    <s v="Pistachos                                         "/>
    <n v="70"/>
    <n v="33"/>
    <n v="70"/>
    <n v="70"/>
    <n v="700"/>
    <x v="0"/>
    <s v="Pistachos_Garbi               "/>
    <s v="COA"/>
    <s v="FV A-00006-00002823"/>
    <s v="FV A-00006-00002823(3).pdf"/>
    <s v="RE R-00008-00003470"/>
    <s v="RE R-00008-00003470.pdf"/>
    <s v="SA"/>
    <n v="147399"/>
    <d v="2025-11-05T00:00:00"/>
    <s v="Gab_Hernandez"/>
    <n v="158991"/>
    <d v="2025-09-03T00:00:00"/>
    <d v="2025-11-05T00:00:00"/>
    <d v="2025-11-05T00:00:00"/>
    <d v="2025-11-05T00:00:00"/>
    <d v="2025-11-05T00:00:00"/>
    <d v="2025-11-05T00:00:00"/>
    <d v="2025-11-05T00:00:00"/>
    <m/>
    <m/>
    <m/>
    <m/>
    <m/>
    <m/>
    <s v="Pistachos "/>
    <n v="70"/>
    <n v="140"/>
  </r>
  <r>
    <n v="80468"/>
    <n v="1"/>
    <s v="2"/>
    <x v="34"/>
    <s v="PIST001   "/>
    <x v="5"/>
    <s v="Pistachos"/>
    <s v="Pistachos                                         "/>
    <n v="10"/>
    <n v="1"/>
    <n v="10"/>
    <n v="10"/>
    <n v="100"/>
    <x v="0"/>
    <s v="Pistachos_Garbi               "/>
    <s v="COA"/>
    <s v="FV B-00006-00000291"/>
    <s v="FV B-00006-00000291.pdf"/>
    <s v="RE R-00008-00003473"/>
    <s v="RE R-00008-00003473.pdf"/>
    <s v="SA"/>
    <n v="147528"/>
    <d v="2025-11-06T00:00:00"/>
    <s v="Gab_Hernandez"/>
    <n v="170420"/>
    <d v="2025-11-06T00:00:00"/>
    <d v="2025-11-06T00:00:00"/>
    <d v="2025-11-06T00:00:00"/>
    <d v="2025-11-06T00:00:00"/>
    <d v="2025-11-06T00:00:00"/>
    <d v="2025-11-06T00:00:00"/>
    <d v="2025-11-06T00:00:00"/>
    <m/>
    <m/>
    <m/>
    <m/>
    <m/>
    <m/>
    <s v="Pistachos "/>
    <n v="10"/>
    <n v="20"/>
  </r>
  <r>
    <n v="80593"/>
    <n v="1"/>
    <s v="1"/>
    <x v="22"/>
    <s v="PIST007   "/>
    <x v="7"/>
    <s v="Pistachos"/>
    <s v="Pistachos                                         "/>
    <n v="525"/>
    <n v="38"/>
    <n v="525"/>
    <n v="525"/>
    <n v="5250"/>
    <x v="0"/>
    <s v="Pistachos_Garbi               "/>
    <s v="COA"/>
    <s v="FV A-00006-00002826"/>
    <s v="FV A-00006-00002826.pdf"/>
    <s v="RE R-00008-00003476"/>
    <s v="RE R-00008-00003476.pdf"/>
    <s v="SA"/>
    <n v="148234"/>
    <d v="2025-11-11T00:00:00"/>
    <s v="Gab_Hernandez"/>
    <n v="171258"/>
    <d v="2025-11-11T00:00:00"/>
    <d v="2025-11-11T00:00:00"/>
    <d v="2025-11-11T00:00:00"/>
    <d v="2025-11-11T00:00:00"/>
    <d v="2025-11-11T00:00:00"/>
    <d v="2025-11-11T00:00:00"/>
    <d v="2025-11-11T00:00:00"/>
    <m/>
    <m/>
    <m/>
    <m/>
    <m/>
    <m/>
    <s v="Pistachos "/>
    <n v="525"/>
    <n v="1050"/>
  </r>
  <r>
    <n v="80689"/>
    <n v="1"/>
    <s v="1"/>
    <x v="22"/>
    <s v="PIST002   "/>
    <x v="2"/>
    <s v="Pistachos"/>
    <s v="Pistachos                                         "/>
    <n v="140"/>
    <n v="40"/>
    <n v="140"/>
    <n v="140"/>
    <n v="1400"/>
    <x v="0"/>
    <s v="Pistachos_Garbi               "/>
    <s v="COA"/>
    <s v="FV A-00006-00002827"/>
    <s v="FV A-00006-00002827.pdf"/>
    <s v="RE R-00008-00003480"/>
    <s v="RE R-00008-00003480.pdf"/>
    <s v="SA"/>
    <n v="148615"/>
    <d v="2025-11-13T00:00:00"/>
    <s v="Gab_Hernandez"/>
    <n v="171877"/>
    <d v="2025-11-13T00:00:00"/>
    <d v="2025-11-13T00:00:00"/>
    <d v="2025-11-13T00:00:00"/>
    <d v="2025-11-13T00:00:00"/>
    <d v="2025-11-13T00:00:00"/>
    <d v="2025-11-13T00:00:00"/>
    <d v="2025-11-13T00:00:00"/>
    <m/>
    <m/>
    <m/>
    <m/>
    <m/>
    <m/>
    <s v="Pistachos "/>
    <n v="140"/>
    <n v="280"/>
  </r>
  <r>
    <n v="80788"/>
    <n v="1"/>
    <s v="1"/>
    <x v="22"/>
    <s v="PIST002   "/>
    <x v="2"/>
    <s v="Pistachos"/>
    <s v="Pistachos                                         "/>
    <n v="140"/>
    <n v="40"/>
    <n v="140"/>
    <n v="140"/>
    <n v="1400"/>
    <x v="0"/>
    <s v="Pistachos_Garbi               "/>
    <s v="COA"/>
    <s v="FV A-00006-00002828"/>
    <s v="FV A-00006-00002828(1).pdf"/>
    <s v="RE R-00008-00003481"/>
    <s v="RE R-00008-00003481.pdf"/>
    <s v="SA"/>
    <n v="149066"/>
    <d v="2025-11-17T00:00:00"/>
    <s v="Gab_Hernandez"/>
    <n v="172464"/>
    <d v="2025-11-17T00:00:00"/>
    <d v="2025-11-17T00:00:00"/>
    <d v="2025-11-17T00:00:00"/>
    <d v="2025-11-17T00:00:00"/>
    <d v="2025-11-17T00:00:00"/>
    <d v="2025-11-17T00:00:00"/>
    <d v="2025-11-17T00:00:00"/>
    <m/>
    <m/>
    <m/>
    <m/>
    <m/>
    <m/>
    <s v="Pistachos "/>
    <n v="140"/>
    <n v="280"/>
  </r>
  <r>
    <n v="81168"/>
    <n v="1"/>
    <s v="1"/>
    <x v="37"/>
    <s v="PIST005   "/>
    <x v="8"/>
    <s v="Pistachos"/>
    <s v="Pistachos                                         "/>
    <n v="490"/>
    <n v="33"/>
    <n v="490"/>
    <n v="490"/>
    <n v="4900"/>
    <x v="0"/>
    <s v="Pistachos_Garbi               "/>
    <s v="COA"/>
    <s v="FV A-00006-00002829"/>
    <s v="FV A-00006-00002829.pdf"/>
    <s v="RE R-00008-00003484"/>
    <s v="RE R-00008-00003484.pdf"/>
    <s v="SA"/>
    <n v="151067"/>
    <d v="2025-12-01T00:00:00"/>
    <s v="Gab_Hernandez"/>
    <n v="174567"/>
    <d v="2025-12-01T00:00:00"/>
    <d v="2025-12-01T00:00:00"/>
    <d v="2025-12-01T00:00:00"/>
    <d v="2025-12-01T00:00:00"/>
    <d v="2025-12-01T00:00:00"/>
    <d v="2025-12-01T00:00:00"/>
    <d v="2025-12-01T00:00:00"/>
    <m/>
    <m/>
    <m/>
    <m/>
    <m/>
    <m/>
    <s v="Pistachos "/>
    <n v="490"/>
    <n v="980"/>
  </r>
  <r>
    <n v="81213"/>
    <n v="2"/>
    <s v="1"/>
    <x v="22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831"/>
    <s v="FV A-00006-00002831.pdf"/>
    <s v="RE R-00008-00003486"/>
    <s v="RE R-00008-00003486.pdf"/>
    <s v="SA"/>
    <n v="151246"/>
    <d v="2025-12-02T00:00:00"/>
    <s v="Gab_Hernandez"/>
    <n v="174855"/>
    <d v="2025-12-02T00:00:00"/>
    <d v="2025-12-02T00:00:00"/>
    <d v="2025-12-02T00:00:00"/>
    <d v="2025-12-02T00:00:00"/>
    <d v="2025-12-02T00:00:00"/>
    <d v="2025-12-02T00:00:00"/>
    <d v="2025-12-02T00:00:00"/>
    <m/>
    <m/>
    <m/>
    <m/>
    <m/>
    <m/>
    <s v="Pistachos "/>
    <n v="70"/>
    <n v="140"/>
  </r>
  <r>
    <n v="81213"/>
    <n v="1"/>
    <s v="1"/>
    <x v="22"/>
    <s v="PIST005   "/>
    <x v="8"/>
    <s v="Pistachos"/>
    <s v="Pistachos                                         "/>
    <n v="210"/>
    <n v="35"/>
    <n v="210"/>
    <n v="210"/>
    <n v="2100"/>
    <x v="0"/>
    <s v="Pistachos_Garbi               "/>
    <s v="COA"/>
    <s v="FV A-00006-00002831"/>
    <s v="FV A-00006-00002831(1).pdf"/>
    <s v="RE R-00008-00003486"/>
    <s v="RE R-00008-00003486.pdf"/>
    <s v="SA"/>
    <n v="151247"/>
    <d v="2025-12-02T00:00:00"/>
    <s v="Gab_Hernandez"/>
    <n v="174854"/>
    <d v="2025-12-02T00:00:00"/>
    <d v="2025-12-02T00:00:00"/>
    <d v="2025-12-02T00:00:00"/>
    <d v="2025-12-02T00:00:00"/>
    <d v="2025-12-02T00:00:00"/>
    <d v="2025-12-02T00:00:00"/>
    <d v="2025-12-02T00:00:00"/>
    <m/>
    <m/>
    <m/>
    <m/>
    <m/>
    <m/>
    <s v="Pistachos "/>
    <n v="210"/>
    <n v="420"/>
  </r>
  <r>
    <n v="81190"/>
    <n v="1"/>
    <s v="1"/>
    <x v="73"/>
    <s v="PIST002   "/>
    <x v="2"/>
    <s v="Pistachos"/>
    <s v="Pistachos                                         "/>
    <n v="70"/>
    <n v="40"/>
    <n v="70"/>
    <n v="70"/>
    <n v="700"/>
    <x v="0"/>
    <s v="Pistachos_Garbi               "/>
    <s v="COA"/>
    <s v="FV A-00006-00002830"/>
    <s v="FV A-00006-00002830.pdf"/>
    <s v="RE R-00008-00003485"/>
    <s v="RE R-00008-00003485.pdf"/>
    <s v="SA"/>
    <n v="151248"/>
    <d v="2025-12-02T00:00:00"/>
    <s v="Gab_Hernandez"/>
    <n v="174740"/>
    <d v="2025-12-02T00:00:00"/>
    <d v="2025-12-02T00:00:00"/>
    <d v="2025-12-02T00:00:00"/>
    <d v="2025-12-02T00:00:00"/>
    <d v="2025-12-02T00:00:00"/>
    <d v="2025-12-02T00:00:00"/>
    <d v="2025-12-02T00:00:00"/>
    <m/>
    <m/>
    <m/>
    <m/>
    <m/>
    <m/>
    <s v="Pistachos "/>
    <n v="70"/>
    <n v="140"/>
  </r>
  <r>
    <n v="81321"/>
    <n v="1"/>
    <s v="2"/>
    <x v="32"/>
    <s v="PIST001   "/>
    <x v="5"/>
    <s v="Pistachos"/>
    <s v="Pistachos                                         "/>
    <n v="70"/>
    <n v="17.690000000000001"/>
    <n v="70"/>
    <n v="70"/>
    <n v="700"/>
    <x v="0"/>
    <s v="Pistachos_Garbi               "/>
    <s v="COA"/>
    <s v="FV A-00090-00000005"/>
    <s v="FV A-00090-00000005.pdf"/>
    <s v="RE R-00090-00000010"/>
    <s v="RE R-00090-00000010.pdf"/>
    <s v="SA"/>
    <n v="151753"/>
    <d v="2025-12-09T00:00:00"/>
    <s v="Gab_Hernandez"/>
    <n v="175446"/>
    <d v="2025-12-09T00:00:00"/>
    <d v="2025-12-09T00:00:00"/>
    <d v="2025-12-09T00:00:00"/>
    <d v="2025-12-09T00:00:00"/>
    <d v="2025-12-09T00:00:00"/>
    <d v="2025-12-09T00:00:00"/>
    <d v="2025-12-09T00:00:00"/>
    <m/>
    <m/>
    <m/>
    <m/>
    <m/>
    <m/>
    <s v="Pistachos "/>
    <n v="70"/>
    <n v="140"/>
  </r>
  <r>
    <n v="81472"/>
    <n v="1"/>
    <s v="2"/>
    <x v="78"/>
    <s v="PIST001   "/>
    <x v="5"/>
    <s v="Pistachos"/>
    <s v="Pistachos                                         "/>
    <n v="70"/>
    <n v="16.72"/>
    <n v="70"/>
    <n v="70"/>
    <n v="700"/>
    <x v="0"/>
    <s v="Pistachos_Garbi               "/>
    <s v="COA"/>
    <s v="FV B-00090-00000008"/>
    <s v="FV B-00090-00000008.pdf"/>
    <s v="RE R-00090-00000012"/>
    <s v="RE R-00090-00000012.pdf"/>
    <s v="SA"/>
    <n v="152760"/>
    <d v="2025-12-15T00:00:00"/>
    <s v="Gab_Hernandez"/>
    <n v="176489"/>
    <d v="2025-12-15T00:00:00"/>
    <d v="2025-12-15T00:00:00"/>
    <d v="2025-12-15T00:00:00"/>
    <d v="2025-12-15T00:00:00"/>
    <d v="2025-12-15T00:00:00"/>
    <d v="2025-12-15T00:00:00"/>
    <d v="2025-12-15T00:00:00"/>
    <m/>
    <m/>
    <m/>
    <m/>
    <m/>
    <m/>
    <s v="Pistachos "/>
    <n v="70"/>
    <n v="140"/>
  </r>
  <r>
    <n v="82118"/>
    <n v="1"/>
    <s v="2"/>
    <x v="22"/>
    <s v="PIST005   "/>
    <x v="8"/>
    <s v="Pistachos"/>
    <s v="Pistachos                                         "/>
    <n v="457"/>
    <n v="31"/>
    <n v="457"/>
    <n v="457"/>
    <n v="4570"/>
    <x v="0"/>
    <s v="Pistachos_Garbi               "/>
    <s v="COA"/>
    <s v="FV A-00090-00000008"/>
    <s v="FV A-00090-00000008.pdf"/>
    <s v="RE R-00090-00000014"/>
    <s v="RE R-00090-00000014.pdf"/>
    <s v="SA"/>
    <n v="156027"/>
    <d v="2026-01-14T00:00:00"/>
    <s v="Gab_Hernandez"/>
    <n v="180341"/>
    <d v="2026-01-14T00:00:00"/>
    <d v="2026-01-14T00:00:00"/>
    <d v="2026-01-14T00:00:00"/>
    <d v="2026-01-14T00:00:00"/>
    <d v="2026-01-14T00:00:00"/>
    <d v="2026-01-14T00:00:00"/>
    <d v="2026-01-14T00:00:00"/>
    <m/>
    <m/>
    <m/>
    <m/>
    <m/>
    <m/>
    <s v="Pistachos "/>
    <n v="457"/>
    <n v="914"/>
  </r>
  <r>
    <n v="82375"/>
    <n v="1"/>
    <s v="2"/>
    <x v="79"/>
    <s v="PIST001   "/>
    <x v="5"/>
    <s v="Pistachos"/>
    <s v="Pistachos                                         "/>
    <n v="6"/>
    <n v="20.8"/>
    <n v="6"/>
    <n v="6"/>
    <n v="360"/>
    <x v="1"/>
    <s v="Pistachos_Garbi               "/>
    <s v="8001"/>
    <s v="FV A-00090-00000009"/>
    <s v="FV A-00090-00000009.pdf"/>
    <s v="RE R-00008-00003499"/>
    <s v="RE R-00008-00003499.pdf"/>
    <s v="SA"/>
    <n v="157108"/>
    <d v="2026-01-22T00:00:00"/>
    <s v="Gab_Hernandez"/>
    <n v="181590"/>
    <d v="2026-01-22T00:00:00"/>
    <d v="2026-01-22T00:00:00"/>
    <d v="2026-01-22T00:00:00"/>
    <d v="2026-01-22T00:00:00"/>
    <d v="2026-01-22T00:00:00"/>
    <d v="2026-01-22T00:00:00"/>
    <d v="2026-01-22T00:00:00"/>
    <d v="2026-01-22T00:00:00"/>
    <m/>
    <m/>
    <m/>
    <m/>
    <m/>
    <s v="Pistachos "/>
    <n v="6"/>
    <n v="12"/>
  </r>
  <r>
    <n v="82616"/>
    <n v="1"/>
    <s v="2"/>
    <x v="55"/>
    <s v="PIST001   "/>
    <x v="5"/>
    <s v="Pistachos"/>
    <s v="Pistachos                                         "/>
    <n v="50"/>
    <n v="15.7"/>
    <n v="50"/>
    <n v="50"/>
    <n v="500"/>
    <x v="0"/>
    <s v="Pistachos_Garbi               "/>
    <s v="COA"/>
    <s v="FV A-00090-00000010"/>
    <s v="FV A-00090-00000010.pdf"/>
    <s v="RE R-00090-00000015"/>
    <s v="RE R-00090-00000015.pdf"/>
    <s v="SA"/>
    <n v="158302"/>
    <d v="2026-02-02T00:00:00"/>
    <s v="Gab_Hernandez"/>
    <n v="183093"/>
    <d v="2026-02-02T00:00:00"/>
    <d v="2026-02-02T00:00:00"/>
    <d v="2026-02-02T00:00:00"/>
    <d v="2026-02-02T00:00:00"/>
    <d v="2026-02-02T00:00:00"/>
    <d v="2026-02-02T00:00:00"/>
    <d v="2026-02-02T00:00:00"/>
    <m/>
    <m/>
    <m/>
    <m/>
    <m/>
    <m/>
    <s v="Pistachos "/>
    <n v="50"/>
    <n v="100"/>
  </r>
  <r>
    <n v="82747"/>
    <n v="1"/>
    <s v="1"/>
    <x v="34"/>
    <s v="PIST001   "/>
    <x v="5"/>
    <s v="Pistachos"/>
    <s v="Pistachos                                         "/>
    <n v="10"/>
    <n v="1"/>
    <n v="10"/>
    <n v="10"/>
    <n v="100"/>
    <x v="0"/>
    <s v="Pistachos_Garbi               "/>
    <s v="COA"/>
    <s v="FV B-00006-00000294"/>
    <s v="FV B-00006-00000294.pdf"/>
    <s v="RE R-00008-00003501"/>
    <s v="RE R-00008-00003501.pdf"/>
    <s v="SA"/>
    <n v="159016"/>
    <d v="2026-02-05T00:00:00"/>
    <s v="Gab_Hernandez"/>
    <n v="183878"/>
    <d v="2026-02-05T00:00:00"/>
    <d v="2026-02-05T00:00:00"/>
    <d v="2026-02-05T00:00:00"/>
    <d v="2026-02-05T00:00:00"/>
    <d v="2026-02-05T00:00:00"/>
    <d v="2026-02-05T00:00:00"/>
    <d v="2026-02-05T00:00:00"/>
    <m/>
    <m/>
    <m/>
    <m/>
    <m/>
    <m/>
    <s v="Pistachos "/>
    <n v="10"/>
    <n v="20"/>
  </r>
  <r>
    <n v="82780"/>
    <n v="1"/>
    <s v="2"/>
    <x v="27"/>
    <s v="PIST001   "/>
    <x v="5"/>
    <s v="Pistachos"/>
    <s v="Pistachos                                         "/>
    <n v="70"/>
    <n v="14.48"/>
    <n v="70"/>
    <n v="70"/>
    <n v="700"/>
    <x v="0"/>
    <s v="Pistachos_Garbi               "/>
    <s v="COA"/>
    <s v="FV F-00090-00000011"/>
    <s v="FV F-00090-00000011.pdf"/>
    <s v="RE R-00090-00000017"/>
    <s v="RE R-00090-00000017.pdf"/>
    <s v="SA"/>
    <n v="159080"/>
    <d v="2026-02-06T00:00:00"/>
    <s v="Gab_Hernandez"/>
    <n v="184036"/>
    <d v="2026-02-06T00:00:00"/>
    <d v="2026-02-06T00:00:00"/>
    <d v="2026-02-06T00:00:00"/>
    <d v="2026-02-06T00:00:00"/>
    <d v="2026-02-06T00:00:00"/>
    <d v="2026-02-06T00:00:00"/>
    <d v="2026-02-06T00:00:00"/>
    <m/>
    <m/>
    <m/>
    <m/>
    <m/>
    <m/>
    <s v="Pistachos "/>
    <n v="70"/>
    <n v="140"/>
  </r>
  <r>
    <n v="83079"/>
    <n v="1"/>
    <s v="2"/>
    <x v="27"/>
    <s v="PIST001   "/>
    <x v="5"/>
    <s v="Pistachos"/>
    <s v="Pistachos                                         "/>
    <n v="70"/>
    <n v="14.89"/>
    <n v="70"/>
    <n v="70"/>
    <n v="700"/>
    <x v="0"/>
    <s v="Pistachos_Garbi               "/>
    <s v="COA"/>
    <s v="FV A-00090-00000012"/>
    <s v="FV A-00090-00000012.pdf"/>
    <s v="RE R-00090-00000021"/>
    <s v="RE R-00090-00000021.pdf"/>
    <s v="SA"/>
    <n v="160496"/>
    <d v="2026-02-20T00:00:00"/>
    <s v="Gab_Hernandez"/>
    <n v="185640"/>
    <d v="2026-02-20T00:00:00"/>
    <d v="2026-02-20T00:00:00"/>
    <d v="2026-02-20T00:00:00"/>
    <d v="2026-02-20T00:00:00"/>
    <d v="2026-02-20T00:00:00"/>
    <d v="2026-02-20T00:00:00"/>
    <d v="2026-02-20T00:00:00"/>
    <m/>
    <m/>
    <m/>
    <m/>
    <m/>
    <m/>
    <s v="Pistachos "/>
    <n v="70"/>
    <n v="140"/>
  </r>
  <r>
    <n v="83071"/>
    <n v="1"/>
    <s v="2"/>
    <x v="9"/>
    <s v="PIST001   "/>
    <x v="5"/>
    <s v="Pistachos"/>
    <s v="Pistachos                                         "/>
    <n v="70"/>
    <n v="16.190000000000001"/>
    <n v="70"/>
    <n v="70"/>
    <n v="700"/>
    <x v="0"/>
    <s v="Pistachos_Garbi               "/>
    <s v="COA"/>
    <s v="FV B-00090-00000012"/>
    <s v="FV B-00090-00000012.pdf"/>
    <s v="RE R-00090-00000019"/>
    <s v="RE R-00090-00000019.pdf"/>
    <s v="SA"/>
    <n v="160487"/>
    <d v="2026-02-20T00:00:00"/>
    <s v="Gab_Hernandez"/>
    <n v="185601"/>
    <d v="2026-02-20T00:00:00"/>
    <d v="2026-02-20T00:00:00"/>
    <d v="2026-02-20T00:00:00"/>
    <d v="2026-02-20T00:00:00"/>
    <d v="2026-02-20T00:00:00"/>
    <d v="2026-02-20T00:00:00"/>
    <d v="2026-02-20T00:00:00"/>
    <m/>
    <m/>
    <m/>
    <m/>
    <m/>
    <m/>
    <s v="Pistachos "/>
    <n v="70"/>
    <n v="140"/>
  </r>
  <r>
    <n v="83230"/>
    <n v="1"/>
    <s v="2"/>
    <x v="23"/>
    <s v="PIST001   "/>
    <x v="5"/>
    <s v="Pistachos"/>
    <s v="Pistachos                                         "/>
    <n v="70"/>
    <n v="16.54"/>
    <n v="70"/>
    <n v="70"/>
    <n v="700"/>
    <x v="0"/>
    <s v="Pistachos_Garbi               "/>
    <s v="COA"/>
    <s v="FV A-00090-00000013"/>
    <s v="FV A-00090-00000013.pdf"/>
    <s v="RE R-00090-00000022"/>
    <s v="RE R-00090-00000022.pdf"/>
    <s v="SA"/>
    <n v="161112"/>
    <d v="2026-02-25T00:00:00"/>
    <s v="Gab_Hernandez"/>
    <n v="186488"/>
    <d v="2026-02-25T00:00:00"/>
    <d v="2026-02-25T00:00:00"/>
    <d v="2026-02-25T00:00:00"/>
    <d v="2026-02-25T00:00:00"/>
    <d v="2026-02-25T00:00:00"/>
    <d v="2026-02-25T00:00:00"/>
    <d v="2026-02-25T00:00:00"/>
    <m/>
    <m/>
    <m/>
    <m/>
    <m/>
    <m/>
    <s v="Pistachos "/>
    <n v="70"/>
    <n v="140"/>
  </r>
  <r>
    <n v="83342"/>
    <n v="1"/>
    <s v="2"/>
    <x v="61"/>
    <s v="PIST001   "/>
    <x v="5"/>
    <s v="Pistachos"/>
    <s v="Pistachos                                         "/>
    <n v="70"/>
    <n v="16.37"/>
    <n v="70"/>
    <n v="70"/>
    <n v="700"/>
    <x v="0"/>
    <s v="Pistachos_Garbi               "/>
    <s v="8001"/>
    <s v="FV B-00090-00000017"/>
    <s v="FV B-00090-00000017.pdf"/>
    <s v="RE R-00090-00000026"/>
    <s v="RE R-00090-00000026.pdf"/>
    <s v="SA"/>
    <n v="161665"/>
    <d v="2026-02-27T00:00:00"/>
    <s v="Gab_Hernandez"/>
    <n v="187020"/>
    <d v="2026-02-27T00:00:00"/>
    <d v="2026-02-27T00:00:00"/>
    <d v="2026-02-27T00:00:00"/>
    <d v="2026-02-27T00:00:00"/>
    <d v="2026-02-27T00:00:00"/>
    <d v="2026-02-27T00:00:00"/>
    <d v="2026-02-27T00:00:00"/>
    <m/>
    <m/>
    <m/>
    <m/>
    <m/>
    <m/>
    <s v="Pistachos "/>
    <n v="70"/>
    <n v="140"/>
  </r>
  <r>
    <n v="83629"/>
    <n v="1"/>
    <s v="2"/>
    <x v="57"/>
    <s v="PIST001   "/>
    <x v="5"/>
    <s v="Pistachos"/>
    <s v="Pistachos                                         "/>
    <n v="70"/>
    <n v="16.027000000000001"/>
    <n v="70"/>
    <n v="70"/>
    <n v="700"/>
    <x v="0"/>
    <s v="Pistachos_Garbi               "/>
    <s v="8001"/>
    <s v="FV B-00090-00000018"/>
    <s v="FV B-00090-00000018.pdf"/>
    <s v="RE R-00090-00000028"/>
    <s v="RE R-00090-00000028.pdf"/>
    <s v="SA"/>
    <n v="163051"/>
    <d v="2026-03-09T00:00:00"/>
    <s v="Gab_Hernandez"/>
    <n v="188687"/>
    <d v="2026-03-09T00:00:00"/>
    <d v="2026-03-09T00:00:00"/>
    <d v="2026-03-09T00:00:00"/>
    <d v="2026-03-09T00:00:00"/>
    <d v="2026-03-09T00:00:00"/>
    <d v="2026-03-09T00:00:00"/>
    <d v="2026-03-09T00:00:00"/>
    <m/>
    <m/>
    <m/>
    <m/>
    <m/>
    <m/>
    <s v="Pistachos "/>
    <n v="70"/>
    <n v="140"/>
  </r>
  <r>
    <n v="83628"/>
    <n v="1"/>
    <s v="2"/>
    <x v="1"/>
    <s v="PIST001   "/>
    <x v="5"/>
    <s v="Pistachos"/>
    <s v="Pistachos                                         "/>
    <n v="35"/>
    <n v="16.027000000000001"/>
    <n v="35"/>
    <n v="35"/>
    <n v="350"/>
    <x v="0"/>
    <s v="Pistachos_Garbi               "/>
    <s v="8001"/>
    <s v="FV A-00090-00000014"/>
    <s v="FV A-00090-00000014.pdf"/>
    <s v="RE R-00090-00000027"/>
    <s v="RE R-00090-00000027.pdf"/>
    <s v="SA"/>
    <n v="163052"/>
    <d v="2026-03-09T00:00:00"/>
    <s v="Gab_Hernandez"/>
    <n v="188686"/>
    <d v="2026-03-09T00:00:00"/>
    <d v="2026-03-09T00:00:00"/>
    <d v="2026-03-09T00:00:00"/>
    <d v="2026-03-09T00:00:00"/>
    <d v="2026-03-09T00:00:00"/>
    <d v="2026-03-09T00:00:00"/>
    <d v="2026-03-09T00:00:00"/>
    <m/>
    <m/>
    <m/>
    <m/>
    <m/>
    <m/>
    <s v="Pistachos "/>
    <n v="35"/>
    <n v="70"/>
  </r>
  <r>
    <n v="83627"/>
    <n v="1"/>
    <s v="1"/>
    <x v="1"/>
    <s v="PIST001   "/>
    <x v="5"/>
    <s v="Pistachos"/>
    <s v="Pistachos                                         "/>
    <n v="35"/>
    <n v="19.39"/>
    <n v="35"/>
    <n v="35"/>
    <n v="350"/>
    <x v="0"/>
    <s v="Pistachos_Garbi               "/>
    <s v="COA"/>
    <s v="FV A-00006-00002838"/>
    <s v="FV A-00006-00002838.pdf"/>
    <s v="RE R-00008-00003519"/>
    <s v="RE R-00008-00003519.pdf"/>
    <s v="SA"/>
    <n v="163053"/>
    <d v="2026-03-09T00:00:00"/>
    <s v="Gab_Hernandez"/>
    <n v="188685"/>
    <d v="2026-03-09T00:00:00"/>
    <d v="2026-03-09T00:00:00"/>
    <d v="2026-03-09T00:00:00"/>
    <d v="2026-03-09T00:00:00"/>
    <d v="2026-03-09T00:00:00"/>
    <d v="2026-03-09T00:00:00"/>
    <d v="2026-03-09T00:00:00"/>
    <m/>
    <m/>
    <m/>
    <m/>
    <m/>
    <m/>
    <s v="Pistachos "/>
    <n v="35"/>
    <n v="70"/>
  </r>
  <r>
    <n v="84120"/>
    <n v="1"/>
    <s v="1"/>
    <x v="32"/>
    <s v="PIST002   "/>
    <x v="2"/>
    <s v="Pistachos"/>
    <s v="Pistachos                                         "/>
    <n v="70"/>
    <n v="38"/>
    <n v="70"/>
    <n v="70"/>
    <n v="700"/>
    <x v="0"/>
    <s v="Pistachos_Garbi               "/>
    <s v="COA"/>
    <s v="FV A-00006-00002843"/>
    <s v="FV A-00006-00002843.pdf"/>
    <s v="RE R-00008-00003532"/>
    <s v="RE R-00008-00003532.pdf"/>
    <s v="SA"/>
    <n v="165072"/>
    <d v="2026-03-20T00:00:00"/>
    <s v="Gab_Hernandez"/>
    <n v="190973"/>
    <d v="2026-03-20T00:00:00"/>
    <d v="2026-03-20T00:00:00"/>
    <d v="2026-03-20T00:00:00"/>
    <d v="2026-03-20T00:00:00"/>
    <d v="2026-03-20T00:00:00"/>
    <d v="2026-03-20T00:00:00"/>
    <d v="2026-03-20T00:00:00"/>
    <m/>
    <m/>
    <m/>
    <m/>
    <m/>
    <m/>
    <s v="Pistachos "/>
    <n v="70"/>
    <n v="140"/>
  </r>
  <r>
    <n v="82800"/>
    <n v="1"/>
    <s v="1"/>
    <x v="22"/>
    <s v="PIST002   "/>
    <x v="2"/>
    <s v="Pistachos"/>
    <s v="Pistachos                                         "/>
    <n v="490"/>
    <n v="37"/>
    <n v="490"/>
    <n v="490"/>
    <n v="4900"/>
    <x v="0"/>
    <s v="Pistachos_Garbi               "/>
    <s v="COA"/>
    <s v="FV A-00006-00002841"/>
    <s v="FV A-00006-00002841.pdf"/>
    <s v="RE R-00008-00003530"/>
    <s v="RE R-00008-00003530.pdf"/>
    <s v="SA"/>
    <n v="165036"/>
    <d v="2026-03-20T00:00:00"/>
    <s v="Gab_Hernandez"/>
    <n v="184093"/>
    <d v="2026-02-09T00:00:00"/>
    <d v="2026-02-09T00:00:00"/>
    <d v="2026-03-20T00:00:00"/>
    <d v="2026-03-20T00:00:00"/>
    <d v="2026-03-20T00:00:00"/>
    <d v="2026-03-20T00:00:00"/>
    <d v="2026-03-20T00:00:00"/>
    <m/>
    <m/>
    <m/>
    <m/>
    <m/>
    <m/>
    <s v="Pistachos "/>
    <n v="490"/>
    <n v="980"/>
  </r>
  <r>
    <n v="82767"/>
    <n v="1"/>
    <s v="1"/>
    <x v="37"/>
    <s v="PIST002   "/>
    <x v="2"/>
    <s v="Pistachos"/>
    <s v="Pistachos                                         "/>
    <n v="490"/>
    <n v="36.950000000000003"/>
    <n v="490"/>
    <n v="490"/>
    <n v="4900"/>
    <x v="0"/>
    <s v="Pistachos_Garbi               "/>
    <s v="COA"/>
    <s v="FV A-00006-00002840"/>
    <s v="FV A-00006-00002840.pdf"/>
    <s v="RE R-00008-00003529"/>
    <s v="RE R-00008-00003529.pdf"/>
    <s v="SA"/>
    <n v="165056"/>
    <d v="2026-03-20T00:00:00"/>
    <s v="Gab_Hernandez"/>
    <n v="183973"/>
    <d v="2026-02-06T00:00:00"/>
    <d v="2026-02-20T00:00:00"/>
    <d v="2026-03-20T00:00:00"/>
    <d v="2026-03-20T00:00:00"/>
    <d v="2026-03-20T00:00:00"/>
    <d v="2026-03-20T00:00:00"/>
    <d v="2026-03-20T00:00:00"/>
    <m/>
    <m/>
    <m/>
    <m/>
    <m/>
    <m/>
    <s v="Pistachos "/>
    <n v="490"/>
    <n v="980"/>
  </r>
  <r>
    <n v="84526"/>
    <n v="1"/>
    <s v="2"/>
    <x v="34"/>
    <s v="PIST001   "/>
    <x v="5"/>
    <s v="Pistachos"/>
    <s v="Pistachos                                         "/>
    <n v="30"/>
    <n v="1"/>
    <n v="30"/>
    <n v="30"/>
    <n v="300"/>
    <x v="0"/>
    <s v="Pistachos_Garbi               "/>
    <s v="8001"/>
    <s v="FV B-00006-00000294"/>
    <s v="FV B-00006-00000294(5).pdf"/>
    <s v="RE R-00008-00003501"/>
    <s v="RE R-00008-00003501.pdf"/>
    <s v="SA"/>
    <n v="166646"/>
    <d v="2026-04-01T00:00:00"/>
    <s v="Gab_Hernandez"/>
    <n v="193061"/>
    <d v="2026-04-01T00:00:00"/>
    <d v="2026-04-01T00:00:00"/>
    <d v="2026-04-01T00:00:00"/>
    <d v="2026-04-01T00:00:00"/>
    <d v="2026-04-01T00:00:00"/>
    <d v="2026-04-01T00:00:00"/>
    <d v="2026-04-01T00:00:00"/>
    <m/>
    <m/>
    <m/>
    <m/>
    <m/>
    <m/>
    <s v="Pistachos "/>
    <n v="30"/>
    <n v="60"/>
  </r>
  <r>
    <n v="84526"/>
    <n v="4"/>
    <s v="2"/>
    <x v="34"/>
    <s v="PIST002   "/>
    <x v="2"/>
    <s v="Pistachos"/>
    <s v="Pistachos                                         "/>
    <n v="5"/>
    <n v="1"/>
    <n v="5"/>
    <n v="5"/>
    <n v="50"/>
    <x v="0"/>
    <s v="Pistachos_Garbi               "/>
    <s v="8001"/>
    <s v="FV B-00006-00000294"/>
    <s v="FV B-00006-00000294(2).pdf"/>
    <s v="RE R-00008-00003501"/>
    <s v="RE R-00008-00003501.pdf"/>
    <s v="SA"/>
    <n v="166639"/>
    <d v="2026-04-01T00:00:00"/>
    <s v="Gab_Hernandez"/>
    <n v="193064"/>
    <d v="2026-04-01T00:00:00"/>
    <d v="2026-04-01T00:00:00"/>
    <d v="2026-04-01T00:00:00"/>
    <d v="2026-04-01T00:00:00"/>
    <d v="2026-04-01T00:00:00"/>
    <d v="2026-04-01T00:00:00"/>
    <d v="2026-04-01T00:00:00"/>
    <m/>
    <m/>
    <m/>
    <m/>
    <m/>
    <m/>
    <s v="Pistachos "/>
    <n v="5"/>
    <n v="10"/>
  </r>
  <r>
    <n v="84526"/>
    <n v="5"/>
    <s v="2"/>
    <x v="34"/>
    <s v="PIST005   "/>
    <x v="8"/>
    <s v="Pistachos"/>
    <s v="Pistachos                                         "/>
    <n v="10"/>
    <n v="1"/>
    <n v="10"/>
    <n v="10"/>
    <n v="100"/>
    <x v="0"/>
    <s v="Pistachos_Garbi               "/>
    <s v="8001"/>
    <s v="FV B-00006-00000294"/>
    <s v="FV B-00006-00000294(1).pdf"/>
    <s v="RE R-00008-00003501"/>
    <s v="RE R-00008-00003501.pdf"/>
    <s v="SA"/>
    <n v="166637"/>
    <d v="2026-04-01T00:00:00"/>
    <s v="Gab_Hernandez"/>
    <n v="193065"/>
    <d v="2026-04-01T00:00:00"/>
    <d v="2026-04-01T00:00:00"/>
    <d v="2026-04-01T00:00:00"/>
    <d v="2026-04-01T00:00:00"/>
    <d v="2026-04-01T00:00:00"/>
    <d v="2026-04-01T00:00:00"/>
    <d v="2026-04-01T00:00:00"/>
    <m/>
    <m/>
    <m/>
    <m/>
    <m/>
    <m/>
    <s v="Pistachos "/>
    <n v="10"/>
    <n v="20"/>
  </r>
  <r>
    <n v="84526"/>
    <n v="3"/>
    <s v="2"/>
    <x v="34"/>
    <s v="PIST008   "/>
    <x v="9"/>
    <s v="Pistachos"/>
    <s v="Pistachos                                         "/>
    <n v="9"/>
    <n v="1"/>
    <n v="9"/>
    <n v="9"/>
    <n v="90"/>
    <x v="0"/>
    <s v="Pistachos_Garbi               "/>
    <s v="8001"/>
    <s v="FV B-00006-00000294"/>
    <s v="FV B-00006-00000294(3).pdf"/>
    <s v="RE R-00008-00003501"/>
    <s v="RE R-00008-00003501.pdf"/>
    <s v="SA"/>
    <n v="166641"/>
    <d v="2026-04-01T00:00:00"/>
    <s v="Gab_Hernandez"/>
    <n v="193063"/>
    <d v="2026-04-01T00:00:00"/>
    <d v="2026-04-01T00:00:00"/>
    <d v="2026-04-01T00:00:00"/>
    <d v="2026-04-01T00:00:00"/>
    <d v="2026-04-01T00:00:00"/>
    <d v="2026-04-01T00:00:00"/>
    <d v="2026-04-01T00:00:00"/>
    <m/>
    <m/>
    <m/>
    <m/>
    <m/>
    <m/>
    <s v="Pistachos "/>
    <n v="9"/>
    <n v="18"/>
  </r>
  <r>
    <n v="84526"/>
    <n v="2"/>
    <s v="2"/>
    <x v="34"/>
    <s v="PIST009   "/>
    <x v="10"/>
    <s v="Pistachos"/>
    <s v="Pistachos                                         "/>
    <n v="7"/>
    <n v="1"/>
    <n v="7"/>
    <n v="7"/>
    <n v="70"/>
    <x v="0"/>
    <s v="Pistachos_Garbi               "/>
    <s v="8001"/>
    <s v="FV B-00006-00000294"/>
    <s v="FV B-00006-00000294(4).pdf"/>
    <s v="RE R-00008-00003501"/>
    <s v="RE R-00008-00003501.pdf"/>
    <s v="SA"/>
    <n v="166644"/>
    <d v="2026-04-01T00:00:00"/>
    <s v="Gab_Hernandez"/>
    <n v="193062"/>
    <d v="2026-04-01T00:00:00"/>
    <d v="2026-04-01T00:00:00"/>
    <d v="2026-04-01T00:00:00"/>
    <d v="2026-04-01T00:00:00"/>
    <d v="2026-04-01T00:00:00"/>
    <d v="2026-04-01T00:00:00"/>
    <d v="2026-04-01T00:00:00"/>
    <m/>
    <m/>
    <m/>
    <m/>
    <m/>
    <m/>
    <s v="Pistachos "/>
    <n v="7"/>
    <n v="14"/>
  </r>
  <r>
    <n v="84123"/>
    <n v="1"/>
    <s v="1"/>
    <x v="3"/>
    <s v="PIST002   "/>
    <x v="2"/>
    <s v="Pistachos"/>
    <s v="Pistachos                                         "/>
    <n v="140"/>
    <n v="45"/>
    <n v="140"/>
    <n v="140"/>
    <n v="1400"/>
    <x v="0"/>
    <s v="Pistachos_Garbi               "/>
    <s v="COA"/>
    <s v="FV A-00006-00002844"/>
    <s v="FV A-00006-00002844.pdf"/>
    <s v="RE R-00008-00003534"/>
    <s v="RE R-00008-00003534.pdf"/>
    <s v="SA"/>
    <n v="166853"/>
    <d v="2026-04-06T00:00:00"/>
    <s v="Fer_Cristoforo"/>
    <n v="190980"/>
    <d v="2026-03-20T00:00:00"/>
    <d v="2026-03-20T00:00:00"/>
    <d v="2026-03-20T00:00:00"/>
    <d v="2026-04-06T00:00:00"/>
    <d v="2026-04-06T00:00:00"/>
    <d v="2026-04-06T00:00:00"/>
    <d v="2026-04-06T00:00:00"/>
    <m/>
    <m/>
    <m/>
    <m/>
    <m/>
    <m/>
    <s v="Pistachos "/>
    <n v="140"/>
    <n v="280"/>
  </r>
  <r>
    <n v="84752"/>
    <n v="1"/>
    <s v="2"/>
    <x v="80"/>
    <s v="PIST001   "/>
    <x v="5"/>
    <s v="Pistachos"/>
    <s v="Pistachos                                         "/>
    <n v="40"/>
    <n v="16.486999999999998"/>
    <n v="40"/>
    <n v="40"/>
    <n v="400"/>
    <x v="0"/>
    <s v="Pistachos_Garbi               "/>
    <s v="8001"/>
    <s v="FV A-00090-00000017"/>
    <s v="FV A-00090-00000017.pdf"/>
    <s v="RE R-00090-00000037"/>
    <s v="RE R-00090-00000037.pdf"/>
    <s v="SA"/>
    <n v="167531"/>
    <d v="2026-04-13T00:00:00"/>
    <s v="Gab_Hernandez"/>
    <n v="194137"/>
    <d v="2026-04-13T00:00:00"/>
    <d v="2026-04-13T00:00:00"/>
    <d v="2026-04-13T00:00:00"/>
    <d v="2026-04-13T00:00:00"/>
    <d v="2026-04-13T00:00:00"/>
    <d v="2026-04-13T00:00:00"/>
    <d v="2026-04-13T00:00:00"/>
    <m/>
    <m/>
    <m/>
    <m/>
    <m/>
    <m/>
    <s v="Pistachos "/>
    <n v="40"/>
    <n v="80"/>
  </r>
  <r>
    <n v="85023"/>
    <n v="1"/>
    <s v="2"/>
    <x v="73"/>
    <s v="PIST002   "/>
    <x v="2"/>
    <s v="Pistachos"/>
    <s v="Pistachos                                         "/>
    <n v="35"/>
    <n v="43.65"/>
    <n v="35"/>
    <n v="35"/>
    <n v="350"/>
    <x v="0"/>
    <s v="Pistachos_Garbi               "/>
    <s v="8001"/>
    <s v="FV A-00090-00000020"/>
    <s v="FV A-00090-00000020.pdf"/>
    <s v="RE R-00090-00000041"/>
    <s v="RE R-00090-00000041.pdf"/>
    <s v="SA"/>
    <n v="168682"/>
    <d v="2026-04-16T00:00:00"/>
    <s v="Gab_Hernandez"/>
    <n v="195613"/>
    <d v="2026-04-16T00:00:00"/>
    <d v="2026-04-16T00:00:00"/>
    <d v="2026-04-16T00:00:00"/>
    <d v="2026-04-16T00:00:00"/>
    <d v="2026-04-16T00:00:00"/>
    <d v="2026-04-16T00:00:00"/>
    <d v="2026-04-16T00:00:00"/>
    <m/>
    <m/>
    <m/>
    <m/>
    <m/>
    <m/>
    <s v="Pistachos "/>
    <n v="35"/>
    <n v="70"/>
  </r>
  <r>
    <n v="85022"/>
    <n v="1"/>
    <s v="1"/>
    <x v="73"/>
    <s v="PIST002   "/>
    <x v="2"/>
    <s v="Pistachos"/>
    <s v="Pistachos                                         "/>
    <n v="35"/>
    <n v="45"/>
    <n v="35"/>
    <n v="35"/>
    <n v="350"/>
    <x v="0"/>
    <s v="Pistachos_Garbi               "/>
    <s v="COA"/>
    <s v="FV A-00006-00002849"/>
    <s v="FV A-00006-00002849.pdf"/>
    <s v="RE R-00008-00003550"/>
    <s v="RE R-00008-00003550.pdf"/>
    <s v="SA"/>
    <n v="168681"/>
    <d v="2026-04-16T00:00:00"/>
    <s v="Gab_Hernandez"/>
    <n v="195612"/>
    <d v="2026-04-16T00:00:00"/>
    <d v="2026-04-16T00:00:00"/>
    <d v="2026-04-16T00:00:00"/>
    <d v="2026-04-16T00:00:00"/>
    <d v="2026-04-16T00:00:00"/>
    <d v="2026-04-16T00:00:00"/>
    <d v="2026-04-16T00:00:00"/>
    <m/>
    <m/>
    <m/>
    <m/>
    <m/>
    <m/>
    <s v="Pistachos "/>
    <n v="35"/>
    <n v="70"/>
  </r>
  <r>
    <n v="85021"/>
    <n v="1"/>
    <s v="1"/>
    <x v="37"/>
    <s v="PIST003   "/>
    <x v="6"/>
    <s v="Pistachos"/>
    <s v="Pistachos                                         "/>
    <n v="350"/>
    <n v="35.1"/>
    <n v="350"/>
    <n v="350"/>
    <n v="3500"/>
    <x v="0"/>
    <s v="Pistachos_Garbi               "/>
    <s v="COA"/>
    <s v="FV A-00006-00002847"/>
    <s v="FV A-00006-00002847(1).pdf"/>
    <s v="RE R-00008-00003548"/>
    <s v="RE R-00008-00003548.pdf"/>
    <s v="SA"/>
    <n v="168652"/>
    <d v="2026-04-16T00:00:00"/>
    <s v="Gab_Hernandez"/>
    <n v="195611"/>
    <d v="2026-04-16T00:00:00"/>
    <d v="2026-04-16T00:00:00"/>
    <d v="2026-04-16T00:00:00"/>
    <d v="2026-04-16T00:00:00"/>
    <d v="2026-04-16T00:00:00"/>
    <d v="2026-04-16T00:00:00"/>
    <d v="2026-04-16T00:00:00"/>
    <m/>
    <m/>
    <m/>
    <m/>
    <m/>
    <m/>
    <s v="Pistachos "/>
    <n v="350"/>
    <n v="700"/>
  </r>
  <r>
    <n v="85019"/>
    <n v="1"/>
    <s v="1"/>
    <x v="22"/>
    <s v="PIST003   "/>
    <x v="6"/>
    <s v="Pistachos"/>
    <s v="Pistachos                                         "/>
    <n v="210"/>
    <n v="35.15"/>
    <n v="210"/>
    <n v="210"/>
    <n v="2100"/>
    <x v="0"/>
    <s v="Pistachos_Garbi               "/>
    <s v="COA"/>
    <s v="FV A-00006-00002848"/>
    <s v="FV A-00006-00002848(1).pdf"/>
    <s v="RE R-00008-00003549"/>
    <s v="RE R-00008-00003549.pdf"/>
    <s v="SA"/>
    <n v="168638"/>
    <d v="2026-04-16T00:00:00"/>
    <s v="Gab_Hernandez"/>
    <n v="195608"/>
    <d v="2026-04-16T00:00:00"/>
    <d v="2026-04-16T00:00:00"/>
    <d v="2026-04-16T00:00:00"/>
    <d v="2026-04-16T00:00:00"/>
    <d v="2026-04-16T00:00:00"/>
    <d v="2026-04-16T00:00:00"/>
    <d v="2026-04-16T00:00:00"/>
    <m/>
    <m/>
    <m/>
    <m/>
    <m/>
    <m/>
    <s v="Pistachos "/>
    <n v="210"/>
    <n v="420"/>
  </r>
  <r>
    <n v="82800"/>
    <n v="2"/>
    <s v="1"/>
    <x v="22"/>
    <s v="PIST002   "/>
    <x v="2"/>
    <s v="Pistachos"/>
    <s v="Pistachos                                         "/>
    <n v="420"/>
    <n v="37"/>
    <n v="420"/>
    <n v="420"/>
    <n v="4200"/>
    <x v="0"/>
    <s v="Pistachos_Garbi               "/>
    <s v="COA"/>
    <s v="FV A-00006-00002848"/>
    <s v="FV A-00006-00002848.pdf"/>
    <s v="RE R-00008-00003549"/>
    <s v="RE R-00008-00003549.pdf"/>
    <s v="SA"/>
    <n v="168637"/>
    <d v="2026-04-16T00:00:00"/>
    <s v="Gab_Hernandez"/>
    <n v="190940"/>
    <d v="2026-03-20T00:00:00"/>
    <d v="2026-03-20T00:00:00"/>
    <d v="2026-04-16T00:00:00"/>
    <d v="2026-04-16T00:00:00"/>
    <d v="2026-04-16T00:00:00"/>
    <d v="2026-04-16T00:00:00"/>
    <d v="2026-04-16T00:00:00"/>
    <m/>
    <m/>
    <m/>
    <m/>
    <m/>
    <m/>
    <s v="Pistachos "/>
    <n v="420"/>
    <n v="840"/>
  </r>
  <r>
    <n v="82800"/>
    <n v="3"/>
    <s v="1"/>
    <x v="22"/>
    <s v="PIST002   "/>
    <x v="2"/>
    <s v="Pistachos"/>
    <s v="Pistachos                                         "/>
    <n v="70"/>
    <n v="37"/>
    <n v="70"/>
    <n v="70"/>
    <n v="700"/>
    <x v="0"/>
    <s v="Pistachos_Garbi               "/>
    <s v="COA"/>
    <s v="FV A-00006-00002850"/>
    <s v="FV A-00006-00002850.pdf"/>
    <s v="RE R-00008-00003552"/>
    <s v="RE R-00008-00003552.pdf"/>
    <s v="SA"/>
    <n v="168639"/>
    <d v="2026-04-16T00:00:00"/>
    <s v="Gab_Hernandez"/>
    <n v="195607"/>
    <d v="2026-04-16T00:00:00"/>
    <d v="2026-04-16T00:00:00"/>
    <d v="2026-04-16T00:00:00"/>
    <d v="2026-04-16T00:00:00"/>
    <d v="2026-04-16T00:00:00"/>
    <d v="2026-04-16T00:00:00"/>
    <d v="2026-04-16T00:00:00"/>
    <m/>
    <m/>
    <m/>
    <m/>
    <m/>
    <m/>
    <s v="Pistachos "/>
    <n v="70"/>
    <n v="140"/>
  </r>
  <r>
    <n v="82767"/>
    <n v="2"/>
    <s v="1"/>
    <x v="37"/>
    <s v="PIST002   "/>
    <x v="2"/>
    <s v="Pistachos"/>
    <s v="Pistachos                                         "/>
    <n v="420"/>
    <n v="36.950000000000003"/>
    <n v="420"/>
    <n v="420"/>
    <n v="4200"/>
    <x v="0"/>
    <s v="Pistachos_Garbi               "/>
    <s v="COA"/>
    <s v="FV A-00006-00002847"/>
    <s v="FV A-00006-00002847.pdf"/>
    <s v="RE R-00008-00003548"/>
    <s v="RE R-00008-00003548.pdf"/>
    <s v="SA"/>
    <n v="168640"/>
    <d v="2026-04-16T00:00:00"/>
    <s v="Gab_Hernandez"/>
    <n v="190970"/>
    <d v="2026-03-20T00:00:00"/>
    <d v="2026-03-20T00:00:00"/>
    <d v="2026-04-16T00:00:00"/>
    <d v="2026-04-16T00:00:00"/>
    <d v="2026-04-16T00:00:00"/>
    <d v="2026-04-16T00:00:00"/>
    <d v="2026-04-16T00:00:00"/>
    <m/>
    <m/>
    <m/>
    <m/>
    <m/>
    <m/>
    <s v="Pistachos "/>
    <n v="420"/>
    <n v="840"/>
  </r>
  <r>
    <n v="85814"/>
    <n v="2"/>
    <s v="2"/>
    <x v="0"/>
    <s v="PIST002   "/>
    <x v="2"/>
    <s v="Pistachos"/>
    <s v="Pistachos                                         "/>
    <n v="70"/>
    <n v="42"/>
    <n v="70"/>
    <n v="70"/>
    <n v="700"/>
    <x v="0"/>
    <s v="Pistachos_Garbi               "/>
    <s v="8001"/>
    <s v="FV A-00090-00000021"/>
    <s v="FV A-00090-00000021(1).pdf"/>
    <s v="RE R-00090-00000043"/>
    <s v="RE R-00090-00000043.pdf"/>
    <s v="SA"/>
    <n v="172051"/>
    <d v="2026-05-08T00:00:00"/>
    <s v="Gab_Hernandez"/>
    <n v="199860"/>
    <d v="2026-05-08T00:00:00"/>
    <d v="2026-05-08T00:00:00"/>
    <d v="2026-05-08T00:00:00"/>
    <d v="2026-05-08T00:00:00"/>
    <d v="2026-05-08T00:00:00"/>
    <d v="2026-05-08T00:00:00"/>
    <d v="2026-05-08T00:00:00"/>
    <m/>
    <m/>
    <m/>
    <m/>
    <m/>
    <m/>
    <s v="Pistachos "/>
    <n v="70"/>
    <n v="140"/>
  </r>
  <r>
    <n v="85814"/>
    <n v="1"/>
    <s v="2"/>
    <x v="0"/>
    <s v="PIST001   "/>
    <x v="5"/>
    <s v="Pistachos"/>
    <s v="Pistachos                                         "/>
    <n v="70"/>
    <n v="16.254000000000001"/>
    <n v="70"/>
    <n v="70"/>
    <n v="700"/>
    <x v="0"/>
    <s v="Pistachos_Garbi               "/>
    <s v="8001"/>
    <s v="FV A-00090-00000021"/>
    <s v="FV A-00090-00000021.pdf"/>
    <s v="RE R-00090-00000043"/>
    <s v="RE R-00090-00000043.pdf"/>
    <s v="SA"/>
    <n v="172052"/>
    <d v="2026-05-08T00:00:00"/>
    <s v="Gab_Hernandez"/>
    <n v="199856"/>
    <d v="2026-05-08T00:00:00"/>
    <d v="2026-05-08T00:00:00"/>
    <d v="2026-05-08T00:00:00"/>
    <d v="2026-05-08T00:00:00"/>
    <d v="2026-05-08T00:00:00"/>
    <d v="2026-05-08T00:00:00"/>
    <d v="2026-05-08T00:00:00"/>
    <m/>
    <m/>
    <m/>
    <m/>
    <m/>
    <m/>
    <s v="Pistachos "/>
    <n v="70"/>
    <n v="140"/>
  </r>
  <r>
    <n v="86057"/>
    <n v="1"/>
    <s v="1"/>
    <x v="33"/>
    <s v="PIST002   "/>
    <x v="2"/>
    <s v="Pistachos"/>
    <s v="Pistachos                                         "/>
    <n v="70"/>
    <n v="42"/>
    <n v="70"/>
    <n v="70"/>
    <n v="700"/>
    <x v="0"/>
    <s v="Pistachos_Garbi               "/>
    <s v="COA"/>
    <s v="FV A-00006-00002854"/>
    <s v="FV A-00006-00002854.pdf"/>
    <s v="RE R-00008-00003560"/>
    <s v="RE R-00008-00003560.pdf"/>
    <s v="SA"/>
    <n v="172922"/>
    <d v="2026-05-14T00:00:00"/>
    <s v="Gab_Hernandez"/>
    <n v="200715"/>
    <d v="2026-05-14T00:00:00"/>
    <d v="2026-05-14T00:00:00"/>
    <d v="2026-05-14T00:00:00"/>
    <d v="2026-05-14T00:00:00"/>
    <d v="2026-05-14T00:00:00"/>
    <d v="2026-05-14T00:00:00"/>
    <d v="2026-05-14T00:00:00"/>
    <m/>
    <m/>
    <m/>
    <m/>
    <m/>
    <m/>
    <s v="Pistachos "/>
    <n v="70"/>
    <n v="140"/>
  </r>
  <r>
    <n v="86150"/>
    <n v="1"/>
    <s v="2"/>
    <x v="0"/>
    <s v="PIST001   "/>
    <x v="5"/>
    <s v="Pistachos"/>
    <s v="Pistachos                                         "/>
    <n v="70"/>
    <n v="15.14"/>
    <n v="70"/>
    <n v="70"/>
    <n v="700"/>
    <x v="0"/>
    <s v="Pistachos_Garbi               "/>
    <s v="8001"/>
    <s v="FV A-00090-00000022"/>
    <s v="FV A-00090-00000022.pdf"/>
    <s v="RE R-00090-00000044"/>
    <s v="RE R-00090-00000044.pdf"/>
    <s v="SA"/>
    <n v="173121"/>
    <d v="2026-05-18T00:00:00"/>
    <s v="Gab_Hernandez"/>
    <n v="201161"/>
    <d v="2026-05-18T00:00:00"/>
    <d v="2026-05-18T00:00:00"/>
    <d v="2026-05-18T00:00:00"/>
    <d v="2026-05-18T00:00:00"/>
    <d v="2026-05-18T00:00:00"/>
    <d v="2026-05-18T00:00:00"/>
    <d v="2026-05-18T00:00:00"/>
    <m/>
    <m/>
    <m/>
    <m/>
    <m/>
    <m/>
    <s v="Pistachos "/>
    <n v="70"/>
    <n v="140"/>
  </r>
  <r>
    <n v="86633"/>
    <n v="1"/>
    <s v="1"/>
    <x v="37"/>
    <s v="PIST003   "/>
    <x v="6"/>
    <s v="Pistachos"/>
    <s v="Pistachos                                         "/>
    <n v="210"/>
    <n v="35.1"/>
    <n v="210"/>
    <n v="210"/>
    <n v="2100"/>
    <x v="0"/>
    <s v="Pistachos_Garbi               "/>
    <s v="COA"/>
    <s v="FV A-00006-00002859"/>
    <s v="FV A-00006-00002859(1).pdf"/>
    <s v="RE R-00008-00003578"/>
    <s v="RE R-00008-00003578.pdf"/>
    <s v="SA"/>
    <n v="174842"/>
    <d v="2026-06-01T00:00:00"/>
    <s v="Gab_Hernandez"/>
    <n v="203036"/>
    <d v="2026-06-01T00:00:00"/>
    <d v="2026-06-01T00:00:00"/>
    <d v="2026-06-01T00:00:00"/>
    <d v="2026-06-01T00:00:00"/>
    <d v="2026-06-01T00:00:00"/>
    <d v="2026-06-01T00:00:00"/>
    <d v="2026-06-01T00:00:00"/>
    <m/>
    <m/>
    <m/>
    <m/>
    <m/>
    <m/>
    <s v="Pistachos "/>
    <n v="210"/>
    <n v="420"/>
  </r>
  <r>
    <n v="82767"/>
    <n v="3"/>
    <s v="1"/>
    <x v="37"/>
    <s v="PIST002   "/>
    <x v="2"/>
    <s v="Pistachos"/>
    <s v="Pistachos                                         "/>
    <n v="560"/>
    <n v="36.950000000000003"/>
    <n v="560"/>
    <n v="560"/>
    <n v="5600"/>
    <x v="0"/>
    <s v="Pistachos_Garbi               "/>
    <s v="COA"/>
    <s v="FV A-00006-00002859"/>
    <s v="FV A-00006-00002859.pdf"/>
    <s v="RE R-00008-00003578"/>
    <s v="RE R-00008-00003578.pdf"/>
    <s v="SA"/>
    <n v="174841"/>
    <d v="2026-06-01T00:00:00"/>
    <s v="Gab_Hernandez"/>
    <n v="195610"/>
    <d v="2026-04-16T00:00:00"/>
    <d v="2026-04-16T00:00:00"/>
    <d v="2026-06-01T00:00:00"/>
    <d v="2026-06-01T00:00:00"/>
    <d v="2026-06-01T00:00:00"/>
    <d v="2026-06-01T00:00:00"/>
    <d v="2026-06-01T00:00:00"/>
    <m/>
    <m/>
    <m/>
    <m/>
    <m/>
    <m/>
    <s v="Pistachos "/>
    <n v="560"/>
    <n v="1120"/>
  </r>
  <r>
    <n v="87138"/>
    <n v="1"/>
    <s v="1"/>
    <x v="33"/>
    <s v="PIST004   "/>
    <x v="4"/>
    <s v="Pistachos"/>
    <s v="Pistachos                                         "/>
    <n v="70"/>
    <n v="42"/>
    <n v="70"/>
    <n v="70"/>
    <n v="700"/>
    <x v="0"/>
    <s v="Pistachos_Garbi               "/>
    <s v="COA"/>
    <s v="FV A-00006-00002862"/>
    <s v="FV A-00006-00002862.pdf"/>
    <s v="RE R-00008-00003581"/>
    <s v="RE R-00008-00003581.pdf"/>
    <s v="SA"/>
    <n v="176574"/>
    <d v="2026-06-17T00:00:00"/>
    <s v="Gab_Hernandez"/>
    <n v="205338"/>
    <d v="2026-06-17T00:00:00"/>
    <d v="2026-06-17T00:00:00"/>
    <d v="2026-06-17T00:00:00"/>
    <d v="2026-06-17T00:00:00"/>
    <d v="2026-06-17T00:00:00"/>
    <d v="2026-06-17T00:00:00"/>
    <d v="2026-06-17T00:00:00"/>
    <m/>
    <m/>
    <m/>
    <m/>
    <m/>
    <m/>
    <s v="Pistachos "/>
    <n v="70"/>
    <n v="140"/>
  </r>
  <r>
    <n v="86632"/>
    <n v="1"/>
    <s v="1"/>
    <x v="81"/>
    <s v="PIST004   "/>
    <x v="4"/>
    <s v="Pistachos"/>
    <s v="Pistachos                                         "/>
    <n v="40"/>
    <n v="45"/>
    <n v="40"/>
    <n v="40"/>
    <n v="400"/>
    <x v="0"/>
    <s v="Pistachos_Garbi               "/>
    <s v="COA"/>
    <s v="FV A-00006-00002858"/>
    <s v="FV A-00006-00002858.pdf"/>
    <s v="RE R-00008-00003577"/>
    <s v="RE R-00008-00003577.pdf"/>
    <s v="SA"/>
    <n v="177423"/>
    <d v="2026-06-22T00:00:00"/>
    <s v="Gab_Hernandez"/>
    <n v="203035"/>
    <d v="2026-06-01T00:00:00"/>
    <d v="2026-06-01T00:00:00"/>
    <d v="2026-06-22T00:00:00"/>
    <d v="2026-06-22T00:00:00"/>
    <d v="2026-06-22T00:00:00"/>
    <d v="2026-06-22T00:00:00"/>
    <d v="2026-06-22T00:00:00"/>
    <m/>
    <m/>
    <m/>
    <m/>
    <m/>
    <m/>
    <s v="Pistachos "/>
    <n v="40"/>
    <n v="80"/>
  </r>
  <r>
    <n v="87457"/>
    <n v="1"/>
    <s v="2"/>
    <x v="0"/>
    <s v="PIST001   "/>
    <x v="5"/>
    <s v="Pistachos"/>
    <s v="Pistachos                                         "/>
    <n v="70"/>
    <n v="15.436"/>
    <n v="70"/>
    <n v="70"/>
    <n v="700"/>
    <x v="0"/>
    <s v="Pistachos_Garbi               "/>
    <s v="8001"/>
    <s v="FV A-00090-00000023"/>
    <s v="FV A-00090-00000023.pdf"/>
    <s v="RE R-00090-00000054"/>
    <s v="RE R-00090-00000054.pdf"/>
    <s v="SA"/>
    <n v="177797"/>
    <d v="2026-06-25T00:00:00"/>
    <s v="Gab_Hernandez"/>
    <n v="206719"/>
    <d v="2026-06-25T00:00:00"/>
    <d v="2026-06-25T00:00:00"/>
    <d v="2026-06-25T00:00:00"/>
    <d v="2026-06-25T00:00:00"/>
    <d v="2026-06-25T00:00:00"/>
    <d v="2026-06-25T00:00:00"/>
    <d v="2026-06-25T00:00:00"/>
    <m/>
    <m/>
    <m/>
    <m/>
    <m/>
    <m/>
    <s v="Pistachos "/>
    <n v="70"/>
    <n v="140"/>
  </r>
  <r>
    <n v="82767"/>
    <n v="4"/>
    <s v="1"/>
    <x v="37"/>
    <s v="PIST002   "/>
    <x v="2"/>
    <s v="Pistachos"/>
    <s v="Pistachos                                         "/>
    <n v="420"/>
    <n v="36.950000000000003"/>
    <n v="420"/>
    <n v="420"/>
    <n v="4200"/>
    <x v="0"/>
    <s v="Pistachos_Garbi               "/>
    <s v="COA"/>
    <s v="FV A-00006-00002865"/>
    <s v="FV A-00006-00002865.pdf"/>
    <s v="RE R-00008-00003594"/>
    <s v="RE R-00008-00003594.pdf"/>
    <s v="SA"/>
    <n v="179045"/>
    <d v="2026-07-07T00:00:00"/>
    <s v="Gab_Hernandez"/>
    <n v="203034"/>
    <d v="2026-06-01T00:00:00"/>
    <d v="2026-06-01T00:00:00"/>
    <d v="2026-07-07T00:00:00"/>
    <d v="2026-07-07T00:00:00"/>
    <d v="2026-07-07T00:00:00"/>
    <d v="2026-07-07T00:00:00"/>
    <d v="2026-07-07T00:00:00"/>
    <m/>
    <m/>
    <m/>
    <m/>
    <m/>
    <m/>
    <s v="Pistachos "/>
    <n v="420"/>
    <n v="840"/>
  </r>
  <r>
    <n v="87924"/>
    <n v="1"/>
    <s v="2"/>
    <x v="57"/>
    <s v="PIST001   "/>
    <x v="5"/>
    <s v="Pistachos"/>
    <s v="Pistachos                                         "/>
    <n v="50"/>
    <n v="15.23"/>
    <n v="50"/>
    <n v="50"/>
    <n v="500"/>
    <x v="0"/>
    <s v="Pistachos_Garbi               "/>
    <s v="8001"/>
    <s v="FV B-00090-00000042"/>
    <s v="FV B-00090-00000042.pdf"/>
    <s v="RE R-00090-00000061"/>
    <s v="RE R-00090-00000061.pdf"/>
    <s v="SA"/>
    <n v="179482"/>
    <d v="2026-07-13T00:00:00"/>
    <s v="Gab_Hernandez"/>
    <n v="208629"/>
    <d v="2026-07-13T00:00:00"/>
    <d v="2026-07-13T00:00:00"/>
    <d v="2026-07-13T00:00:00"/>
    <d v="2026-07-13T00:00:00"/>
    <d v="2026-07-13T00:00:00"/>
    <d v="2026-07-13T00:00:00"/>
    <d v="2026-07-13T00:00:00"/>
    <m/>
    <m/>
    <m/>
    <m/>
    <m/>
    <m/>
    <s v="Pistachos "/>
    <n v="50"/>
    <n v="100"/>
  </r>
  <r>
    <n v="88023"/>
    <n v="1"/>
    <s v="2"/>
    <x v="5"/>
    <s v="PIST001   "/>
    <x v="5"/>
    <s v="Pistachos"/>
    <s v="Pistachos                                         "/>
    <n v="20"/>
    <n v="15.384"/>
    <n v="20"/>
    <n v="20"/>
    <n v="200"/>
    <x v="0"/>
    <s v="Pistachos_Garbi               "/>
    <s v="8001"/>
    <s v="FV A-00090-00000025"/>
    <s v="FV A-00090-00000025.pdf"/>
    <s v="RE R-00090-00000063"/>
    <s v="RE R-00090-00000063.pdf"/>
    <s v="SA"/>
    <n v="179769"/>
    <d v="2026-07-15T00:00:00"/>
    <s v="Gab_Hernandez"/>
    <n v="208994"/>
    <d v="2026-07-15T00:00:00"/>
    <d v="2026-07-15T00:00:00"/>
    <d v="2026-07-15T00:00:00"/>
    <d v="2026-07-15T00:00:00"/>
    <d v="2026-07-15T00:00:00"/>
    <d v="2026-07-15T00:00:00"/>
    <d v="2026-07-15T00:00:00"/>
    <m/>
    <m/>
    <m/>
    <m/>
    <m/>
    <m/>
    <s v="Pistachos "/>
    <n v="20"/>
    <n v="40"/>
  </r>
  <r>
    <n v="84752"/>
    <n v="2"/>
    <s v="2"/>
    <x v="80"/>
    <s v="PIST001   "/>
    <x v="5"/>
    <s v="Pistachos"/>
    <s v="Pistachos                                         "/>
    <n v="360"/>
    <n v="16.486999999999998"/>
    <n v="0"/>
    <n v="0"/>
    <n v="0"/>
    <x v="2"/>
    <s v="Preventa                      "/>
    <m/>
    <m/>
    <m/>
    <m/>
    <m/>
    <m/>
    <m/>
    <m/>
    <s v="Gab_Hernandez"/>
    <n v="194140"/>
    <d v="2026-04-13T00:00:00"/>
    <d v="2026-04-17T00:00:00"/>
    <m/>
    <m/>
    <m/>
    <m/>
    <m/>
    <m/>
    <m/>
    <m/>
    <m/>
    <m/>
    <m/>
    <s v="Pistachos "/>
    <n v="360"/>
    <n v="720"/>
  </r>
  <r>
    <n v="84119"/>
    <n v="1"/>
    <s v="1"/>
    <x v="22"/>
    <s v="PIST002   "/>
    <x v="2"/>
    <s v="Pistachos"/>
    <s v="Pistachos                                         "/>
    <n v="4060"/>
    <n v="37"/>
    <n v="0"/>
    <n v="0"/>
    <n v="0"/>
    <x v="2"/>
    <s v="Pistachos_Garbi               "/>
    <m/>
    <m/>
    <m/>
    <m/>
    <m/>
    <m/>
    <m/>
    <m/>
    <s v="Gab_Hernandez"/>
    <n v="190972"/>
    <d v="2026-03-20T00:00:00"/>
    <d v="2026-03-20T00:00:00"/>
    <m/>
    <m/>
    <m/>
    <m/>
    <m/>
    <m/>
    <m/>
    <m/>
    <m/>
    <m/>
    <m/>
    <s v="Pistachos "/>
    <n v="4060"/>
    <n v="8120"/>
  </r>
  <r>
    <n v="83629"/>
    <n v="2"/>
    <s v="2"/>
    <x v="57"/>
    <s v="PIST001   "/>
    <x v="5"/>
    <s v="Pistachos"/>
    <s v="Pistachos                                         "/>
    <n v="630"/>
    <n v="16.027000000000001"/>
    <n v="0"/>
    <n v="0"/>
    <n v="0"/>
    <x v="2"/>
    <s v="Preventa                      "/>
    <m/>
    <m/>
    <m/>
    <m/>
    <m/>
    <m/>
    <m/>
    <m/>
    <s v="Gab_Hernandez"/>
    <n v="188692"/>
    <d v="2026-03-09T00:00:00"/>
    <d v="2026-03-20T00:00:00"/>
    <m/>
    <m/>
    <m/>
    <m/>
    <m/>
    <m/>
    <m/>
    <m/>
    <m/>
    <m/>
    <m/>
    <s v="Pistachos "/>
    <n v="630"/>
    <n v="1260"/>
  </r>
  <r>
    <n v="83628"/>
    <n v="2"/>
    <s v="2"/>
    <x v="1"/>
    <s v="PIST001   "/>
    <x v="5"/>
    <s v="Pistachos"/>
    <s v="Pistachos                                         "/>
    <n v="315"/>
    <n v="16.027000000000001"/>
    <n v="0"/>
    <n v="0"/>
    <n v="0"/>
    <x v="2"/>
    <s v="Preventa                      "/>
    <m/>
    <m/>
    <m/>
    <m/>
    <m/>
    <m/>
    <m/>
    <m/>
    <s v="Gab_Hernandez"/>
    <n v="188694"/>
    <d v="2026-03-09T00:00:00"/>
    <d v="2026-03-20T00:00:00"/>
    <m/>
    <m/>
    <m/>
    <m/>
    <m/>
    <m/>
    <m/>
    <m/>
    <m/>
    <m/>
    <m/>
    <s v="Pistachos "/>
    <n v="315"/>
    <n v="630"/>
  </r>
  <r>
    <n v="83627"/>
    <n v="2"/>
    <s v="1"/>
    <x v="1"/>
    <s v="PIST001   "/>
    <x v="5"/>
    <s v="Pistachos"/>
    <s v="Pistachos                                         "/>
    <n v="315"/>
    <n v="19.39"/>
    <n v="0"/>
    <n v="0"/>
    <n v="0"/>
    <x v="2"/>
    <s v="Preventa                      "/>
    <m/>
    <m/>
    <m/>
    <m/>
    <m/>
    <m/>
    <m/>
    <m/>
    <s v="Gab_Hernandez"/>
    <n v="188695"/>
    <d v="2026-03-09T00:00:00"/>
    <d v="2026-03-20T00:00:00"/>
    <m/>
    <m/>
    <m/>
    <m/>
    <m/>
    <m/>
    <m/>
    <m/>
    <m/>
    <m/>
    <m/>
    <s v="Pistachos "/>
    <n v="315"/>
    <n v="630"/>
  </r>
  <r>
    <n v="82767"/>
    <n v="5"/>
    <s v="1"/>
    <x v="37"/>
    <s v="PIST002   "/>
    <x v="2"/>
    <s v="Pistachos"/>
    <s v="Pistachos                                         "/>
    <n v="3150"/>
    <n v="36.950000000000003"/>
    <n v="0"/>
    <n v="0"/>
    <n v="0"/>
    <x v="2"/>
    <s v="Pistachos_Garbi               "/>
    <m/>
    <m/>
    <m/>
    <m/>
    <m/>
    <m/>
    <m/>
    <m/>
    <s v="Gab_Hernandez"/>
    <n v="208165"/>
    <d v="2026-07-07T00:00:00"/>
    <d v="2026-07-07T00:00:00"/>
    <m/>
    <m/>
    <m/>
    <m/>
    <m/>
    <m/>
    <m/>
    <m/>
    <m/>
    <m/>
    <m/>
    <s v="Pistachos "/>
    <n v="3150"/>
    <n v="6300"/>
  </r>
  <r>
    <n v="79263"/>
    <n v="1"/>
    <s v="1"/>
    <x v="34"/>
    <s v="PIST007   "/>
    <x v="7"/>
    <s v="Pistachos"/>
    <s v="Pistachos                                         "/>
    <n v="0"/>
    <n v="37"/>
    <n v="0"/>
    <n v="0"/>
    <n v="0"/>
    <x v="3"/>
    <s v="Pistachos_Garbi               "/>
    <m/>
    <m/>
    <m/>
    <m/>
    <m/>
    <m/>
    <m/>
    <m/>
    <s v="Gab_Hernandez"/>
    <n v="163365"/>
    <d v="2025-09-29T00:00:00"/>
    <d v="2025-09-29T00:00:00"/>
    <d v="2025-09-29T00:00:00"/>
    <m/>
    <m/>
    <m/>
    <m/>
    <m/>
    <m/>
    <m/>
    <m/>
    <m/>
    <d v="2025-10-01T00:00:00"/>
    <s v="Pistachos "/>
    <n v="0"/>
    <n v="0"/>
  </r>
  <r>
    <n v="77870"/>
    <n v="2"/>
    <s v="1"/>
    <x v="16"/>
    <s v="PIST002   "/>
    <x v="2"/>
    <s v="Pistachos"/>
    <s v="Pistachos                                         "/>
    <n v="420"/>
    <n v="37"/>
    <n v="0"/>
    <n v="0"/>
    <n v="0"/>
    <x v="2"/>
    <s v="Eliminados                    "/>
    <m/>
    <m/>
    <m/>
    <m/>
    <m/>
    <m/>
    <m/>
    <m/>
    <s v="Gab_Hernandez"/>
    <n v="155630"/>
    <d v="2025-08-15T00:00:00"/>
    <d v="2026-02-05T00:00:00"/>
    <d v="2025-11-05T00:00:00"/>
    <m/>
    <m/>
    <m/>
    <m/>
    <m/>
    <m/>
    <m/>
    <m/>
    <m/>
    <m/>
    <s v="Pistachos "/>
    <n v="420"/>
    <n v="840"/>
  </r>
  <r>
    <m/>
    <m/>
    <m/>
    <x v="82"/>
    <m/>
    <x v="11"/>
    <m/>
    <m/>
    <n v="42145"/>
    <m/>
    <n v="32895"/>
    <n v="32895"/>
    <n v="329250"/>
    <x v="4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82"/>
    <m/>
    <x v="11"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584DA-4AA2-40A0-B694-4631A3974BB7}" name="TablaDinámica1" cacheId="4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5" firstHeaderRow="1" firstDataRow="1" firstDataCol="1" rowPageCount="1" colPageCount="1"/>
  <pivotFields count="41">
    <pivotField showAll="0"/>
    <pivotField showAll="0"/>
    <pivotField showAll="0"/>
    <pivotField axis="axisRow" showAll="0">
      <items count="84">
        <item x="16"/>
        <item x="13"/>
        <item x="35"/>
        <item x="20"/>
        <item x="36"/>
        <item x="24"/>
        <item x="6"/>
        <item x="62"/>
        <item x="38"/>
        <item x="12"/>
        <item x="3"/>
        <item x="70"/>
        <item x="23"/>
        <item x="25"/>
        <item x="7"/>
        <item x="71"/>
        <item x="63"/>
        <item x="39"/>
        <item x="15"/>
        <item x="61"/>
        <item x="65"/>
        <item x="8"/>
        <item x="60"/>
        <item x="40"/>
        <item x="66"/>
        <item x="33"/>
        <item x="2"/>
        <item x="21"/>
        <item x="41"/>
        <item x="5"/>
        <item x="1"/>
        <item x="0"/>
        <item x="73"/>
        <item x="74"/>
        <item x="43"/>
        <item x="17"/>
        <item x="4"/>
        <item x="14"/>
        <item x="11"/>
        <item x="44"/>
        <item x="42"/>
        <item x="19"/>
        <item x="45"/>
        <item x="59"/>
        <item x="68"/>
        <item x="58"/>
        <item x="34"/>
        <item x="26"/>
        <item x="64"/>
        <item x="31"/>
        <item x="69"/>
        <item x="30"/>
        <item x="46"/>
        <item x="18"/>
        <item x="57"/>
        <item x="32"/>
        <item x="56"/>
        <item x="55"/>
        <item x="54"/>
        <item x="47"/>
        <item x="22"/>
        <item x="48"/>
        <item x="53"/>
        <item x="28"/>
        <item x="49"/>
        <item x="50"/>
        <item x="10"/>
        <item x="51"/>
        <item x="9"/>
        <item x="29"/>
        <item x="67"/>
        <item x="37"/>
        <item x="27"/>
        <item x="52"/>
        <item x="82"/>
        <item x="72"/>
        <item x="75"/>
        <item x="76"/>
        <item x="77"/>
        <item x="78"/>
        <item x="79"/>
        <item x="80"/>
        <item x="81"/>
        <item t="default"/>
      </items>
    </pivotField>
    <pivotField showAll="0"/>
    <pivotField axis="axisRow" showAll="0">
      <items count="13">
        <item sd="0" x="5"/>
        <item x="2"/>
        <item sd="0" x="6"/>
        <item sd="0" x="1"/>
        <item sd="0" x="7"/>
        <item sd="0" x="4"/>
        <item sd="0" x="8"/>
        <item sd="0" x="0"/>
        <item sd="0" x="3"/>
        <item h="1" sd="0" x="11"/>
        <item h="1" x="9"/>
        <item h="1" x="10"/>
        <item t="default" sd="0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8">
        <item m="1" x="6"/>
        <item x="0"/>
        <item x="4"/>
        <item x="3"/>
        <item m="1" x="5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3"/>
  </rowFields>
  <rowItems count="22">
    <i>
      <x/>
    </i>
    <i>
      <x v="1"/>
    </i>
    <i r="1">
      <x/>
    </i>
    <i r="1">
      <x v="10"/>
    </i>
    <i r="1">
      <x v="11"/>
    </i>
    <i r="1">
      <x v="25"/>
    </i>
    <i r="1">
      <x v="31"/>
    </i>
    <i r="1">
      <x v="32"/>
    </i>
    <i r="1">
      <x v="38"/>
    </i>
    <i r="1">
      <x v="46"/>
    </i>
    <i r="1">
      <x v="49"/>
    </i>
    <i r="1">
      <x v="55"/>
    </i>
    <i r="1">
      <x v="60"/>
    </i>
    <i r="1">
      <x v="7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3" item="1" hier="-1"/>
  </pageFields>
  <dataFields count="1">
    <dataField name="Suma de CantidadPedida" fld="8" baseField="0" baseItem="0" numFmtId="3"/>
  </dataFields>
  <formats count="2">
    <format dxfId="40">
      <pivotArea collapsedLevelsAreSubtotals="1" fieldPosition="0">
        <references count="1">
          <reference field="5" count="4">
            <x v="1"/>
            <x v="2"/>
            <x v="5"/>
            <x v="6"/>
          </reference>
        </references>
      </pivotArea>
    </format>
    <format dxfId="3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AEFC2-2FDB-4C66-A45B-95164E9B1E58}" name="TablaDinámica1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46" firstHeaderRow="1" firstDataRow="1" firstDataCol="2" rowPageCount="1" colPageCount="1"/>
  <pivotFields count="41">
    <pivotField showAll="0" defaultSubtotal="0"/>
    <pivotField showAll="0" defaultSubtotal="0"/>
    <pivotField showAll="0" defaultSubtotal="0"/>
    <pivotField axis="axisRow" compact="0" outline="0" subtotalTop="0" showAll="0" defaultSubtotal="0">
      <items count="82">
        <item x="16"/>
        <item x="13"/>
        <item x="35"/>
        <item x="20"/>
        <item x="36"/>
        <item x="24"/>
        <item x="6"/>
        <item x="62"/>
        <item x="38"/>
        <item x="12"/>
        <item x="3"/>
        <item x="70"/>
        <item x="23"/>
        <item x="25"/>
        <item x="7"/>
        <item x="71"/>
        <item x="63"/>
        <item x="39"/>
        <item x="15"/>
        <item x="61"/>
        <item x="65"/>
        <item x="8"/>
        <item x="60"/>
        <item x="40"/>
        <item x="66"/>
        <item x="33"/>
        <item x="2"/>
        <item x="21"/>
        <item x="41"/>
        <item x="5"/>
        <item x="1"/>
        <item x="0"/>
        <item x="73"/>
        <item x="74"/>
        <item x="43"/>
        <item x="17"/>
        <item x="4"/>
        <item x="14"/>
        <item x="11"/>
        <item x="44"/>
        <item x="42"/>
        <item x="19"/>
        <item x="45"/>
        <item x="59"/>
        <item x="68"/>
        <item x="58"/>
        <item x="34"/>
        <item x="26"/>
        <item x="64"/>
        <item x="31"/>
        <item x="69"/>
        <item x="30"/>
        <item x="46"/>
        <item x="18"/>
        <item x="57"/>
        <item x="32"/>
        <item x="56"/>
        <item x="55"/>
        <item x="54"/>
        <item x="47"/>
        <item x="22"/>
        <item x="48"/>
        <item x="53"/>
        <item x="28"/>
        <item x="49"/>
        <item x="50"/>
        <item x="10"/>
        <item x="51"/>
        <item x="9"/>
        <item x="29"/>
        <item x="67"/>
        <item x="37"/>
        <item x="27"/>
        <item x="52"/>
        <item x="72"/>
        <item x="75"/>
        <item x="76"/>
        <item x="77"/>
        <item x="78"/>
        <item x="79"/>
        <item x="80"/>
        <item x="81"/>
      </items>
    </pivotField>
    <pivotField showAll="0" defaultSubtotal="0"/>
    <pivotField axis="axisRow" outline="0" showAll="0" defaultSubtotal="0">
      <items count="11">
        <item x="5"/>
        <item x="6"/>
        <item x="1"/>
        <item x="7"/>
        <item x="2"/>
        <item x="8"/>
        <item x="4"/>
        <item x="0"/>
        <item x="3"/>
        <item x="9"/>
        <item x="1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axis="axisPage" showAll="0" defaultSubtotal="0">
      <items count="6">
        <item m="1" x="5"/>
        <item x="0"/>
        <item x="3"/>
        <item m="1" x="4"/>
        <item x="2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4" showAll="0" defaultSubtotal="0"/>
    <pivotField numFmtId="14"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" showAll="0" defaultSubtotal="0"/>
    <pivotField numFmtId="1" showAll="0" defaultSubtotal="0"/>
  </pivotFields>
  <rowFields count="2">
    <field x="3"/>
    <field x="5"/>
  </rowFields>
  <rowItems count="143">
    <i>
      <x/>
      <x v="2"/>
    </i>
    <i r="1">
      <x v="4"/>
    </i>
    <i r="1">
      <x v="7"/>
    </i>
    <i>
      <x v="1"/>
      <x v="7"/>
    </i>
    <i>
      <x v="2"/>
      <x v="7"/>
    </i>
    <i>
      <x v="3"/>
      <x v="2"/>
    </i>
    <i r="1">
      <x v="7"/>
    </i>
    <i r="1">
      <x v="8"/>
    </i>
    <i>
      <x v="4"/>
      <x v="7"/>
    </i>
    <i>
      <x v="5"/>
      <x/>
    </i>
    <i r="1">
      <x v="2"/>
    </i>
    <i r="1">
      <x v="6"/>
    </i>
    <i r="1">
      <x v="7"/>
    </i>
    <i>
      <x v="6"/>
      <x v="2"/>
    </i>
    <i r="1">
      <x v="7"/>
    </i>
    <i>
      <x v="7"/>
      <x v="7"/>
    </i>
    <i>
      <x v="8"/>
      <x v="7"/>
    </i>
    <i>
      <x v="9"/>
      <x v="7"/>
    </i>
    <i>
      <x v="10"/>
      <x v="2"/>
    </i>
    <i r="1">
      <x v="4"/>
    </i>
    <i>
      <x v="11"/>
      <x v="4"/>
    </i>
    <i>
      <x v="12"/>
      <x/>
    </i>
    <i r="1">
      <x v="7"/>
    </i>
    <i>
      <x v="13"/>
      <x/>
    </i>
    <i r="1">
      <x v="7"/>
    </i>
    <i>
      <x v="14"/>
      <x v="7"/>
    </i>
    <i>
      <x v="15"/>
      <x v="1"/>
    </i>
    <i>
      <x v="16"/>
      <x v="2"/>
    </i>
    <i>
      <x v="17"/>
      <x v="7"/>
    </i>
    <i>
      <x v="18"/>
      <x v="7"/>
    </i>
    <i>
      <x v="19"/>
      <x/>
    </i>
    <i r="1">
      <x v="2"/>
    </i>
    <i r="1">
      <x v="7"/>
    </i>
    <i>
      <x v="20"/>
      <x v="6"/>
    </i>
    <i>
      <x v="21"/>
      <x v="2"/>
    </i>
    <i r="1">
      <x v="7"/>
    </i>
    <i>
      <x v="22"/>
      <x/>
    </i>
    <i r="1">
      <x v="2"/>
    </i>
    <i r="1">
      <x v="7"/>
    </i>
    <i>
      <x v="23"/>
      <x v="7"/>
    </i>
    <i>
      <x v="24"/>
      <x v="1"/>
    </i>
    <i>
      <x v="25"/>
      <x v="1"/>
    </i>
    <i r="1">
      <x v="2"/>
    </i>
    <i r="1">
      <x v="4"/>
    </i>
    <i r="1">
      <x v="6"/>
    </i>
    <i>
      <x v="26"/>
      <x v="7"/>
    </i>
    <i>
      <x v="27"/>
      <x v="2"/>
    </i>
    <i>
      <x v="28"/>
      <x v="7"/>
    </i>
    <i>
      <x v="29"/>
      <x/>
    </i>
    <i r="1">
      <x v="2"/>
    </i>
    <i r="1">
      <x v="7"/>
    </i>
    <i>
      <x v="30"/>
      <x/>
    </i>
    <i r="1">
      <x v="7"/>
    </i>
    <i>
      <x v="31"/>
      <x/>
    </i>
    <i r="1">
      <x v="2"/>
    </i>
    <i r="1">
      <x v="4"/>
    </i>
    <i r="1">
      <x v="7"/>
    </i>
    <i>
      <x v="32"/>
      <x v="4"/>
    </i>
    <i>
      <x v="33"/>
      <x v="6"/>
    </i>
    <i>
      <x v="34"/>
      <x v="7"/>
    </i>
    <i>
      <x v="35"/>
      <x v="2"/>
    </i>
    <i r="1">
      <x v="8"/>
    </i>
    <i>
      <x v="36"/>
      <x v="2"/>
    </i>
    <i>
      <x v="37"/>
      <x v="2"/>
    </i>
    <i r="1">
      <x v="7"/>
    </i>
    <i>
      <x v="38"/>
      <x v="2"/>
    </i>
    <i r="1">
      <x v="4"/>
    </i>
    <i r="1">
      <x v="6"/>
    </i>
    <i>
      <x v="39"/>
      <x v="7"/>
    </i>
    <i>
      <x v="40"/>
      <x v="7"/>
    </i>
    <i>
      <x v="41"/>
      <x v="2"/>
    </i>
    <i>
      <x v="42"/>
      <x v="2"/>
    </i>
    <i r="1">
      <x v="7"/>
    </i>
    <i>
      <x v="43"/>
      <x v="7"/>
    </i>
    <i>
      <x v="44"/>
      <x v="3"/>
    </i>
    <i>
      <x v="45"/>
      <x v="2"/>
    </i>
    <i r="1">
      <x v="7"/>
    </i>
    <i>
      <x v="46"/>
      <x/>
    </i>
    <i r="1">
      <x v="2"/>
    </i>
    <i r="1">
      <x v="4"/>
    </i>
    <i r="1">
      <x v="5"/>
    </i>
    <i r="1">
      <x v="7"/>
    </i>
    <i r="1">
      <x v="9"/>
    </i>
    <i r="1">
      <x v="10"/>
    </i>
    <i>
      <x v="47"/>
      <x v="7"/>
    </i>
    <i>
      <x v="48"/>
      <x v="2"/>
    </i>
    <i r="1">
      <x v="7"/>
    </i>
    <i>
      <x v="49"/>
      <x v="2"/>
    </i>
    <i r="1">
      <x v="4"/>
    </i>
    <i r="1">
      <x v="5"/>
    </i>
    <i r="1">
      <x v="6"/>
    </i>
    <i r="1">
      <x v="8"/>
    </i>
    <i>
      <x v="50"/>
      <x v="1"/>
    </i>
    <i>
      <x v="51"/>
      <x v="2"/>
    </i>
    <i>
      <x v="52"/>
      <x v="7"/>
    </i>
    <i>
      <x v="53"/>
      <x v="7"/>
    </i>
    <i>
      <x v="54"/>
      <x/>
    </i>
    <i r="1">
      <x v="7"/>
    </i>
    <i>
      <x v="55"/>
      <x/>
    </i>
    <i r="1">
      <x v="2"/>
    </i>
    <i r="1">
      <x v="4"/>
    </i>
    <i r="1">
      <x v="7"/>
    </i>
    <i>
      <x v="56"/>
      <x v="2"/>
    </i>
    <i>
      <x v="57"/>
      <x/>
    </i>
    <i r="1">
      <x v="7"/>
    </i>
    <i>
      <x v="58"/>
      <x v="2"/>
    </i>
    <i>
      <x v="59"/>
      <x v="7"/>
    </i>
    <i>
      <x v="60"/>
      <x v="1"/>
    </i>
    <i r="1">
      <x v="2"/>
    </i>
    <i r="1">
      <x v="3"/>
    </i>
    <i r="1">
      <x v="4"/>
    </i>
    <i r="1">
      <x v="5"/>
    </i>
    <i r="1">
      <x v="6"/>
    </i>
    <i>
      <x v="61"/>
      <x v="7"/>
    </i>
    <i>
      <x v="62"/>
      <x v="2"/>
    </i>
    <i>
      <x v="63"/>
      <x v="2"/>
    </i>
    <i>
      <x v="64"/>
      <x v="7"/>
    </i>
    <i>
      <x v="65"/>
      <x v="7"/>
    </i>
    <i>
      <x v="66"/>
      <x v="2"/>
    </i>
    <i r="1">
      <x v="7"/>
    </i>
    <i>
      <x v="67"/>
      <x v="7"/>
    </i>
    <i>
      <x v="68"/>
      <x/>
    </i>
    <i r="1">
      <x v="7"/>
    </i>
    <i>
      <x v="69"/>
      <x v="2"/>
    </i>
    <i>
      <x v="70"/>
      <x v="3"/>
    </i>
    <i>
      <x v="71"/>
      <x v="1"/>
    </i>
    <i r="1">
      <x v="2"/>
    </i>
    <i r="1">
      <x v="4"/>
    </i>
    <i r="1">
      <x v="5"/>
    </i>
    <i r="1">
      <x v="6"/>
    </i>
    <i r="1">
      <x v="8"/>
    </i>
    <i>
      <x v="72"/>
      <x/>
    </i>
    <i r="1">
      <x v="2"/>
    </i>
    <i r="1">
      <x v="7"/>
    </i>
    <i>
      <x v="73"/>
      <x v="7"/>
    </i>
    <i>
      <x v="74"/>
      <x v="3"/>
    </i>
    <i>
      <x v="75"/>
      <x v="3"/>
    </i>
    <i>
      <x v="76"/>
      <x v="3"/>
    </i>
    <i>
      <x v="77"/>
      <x v="5"/>
    </i>
    <i>
      <x v="78"/>
      <x/>
    </i>
    <i>
      <x v="80"/>
      <x/>
    </i>
    <i>
      <x v="81"/>
      <x v="6"/>
    </i>
    <i t="grand">
      <x/>
    </i>
  </rowItems>
  <colItems count="1">
    <i/>
  </colItems>
  <pageFields count="1">
    <pageField fld="13" item="1" hier="-1"/>
  </pageFields>
  <dataFields count="1">
    <dataField name="Suma de CantidadPedida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72AB6-027F-4FDC-A6D7-967CB00E6A25}" name="TablaDinámica1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 rowPageCount="1" colPageCount="1"/>
  <pivotFields count="41">
    <pivotField showAll="0"/>
    <pivotField showAll="0"/>
    <pivotField showAll="0"/>
    <pivotField axis="axisRow" showAll="0">
      <items count="83">
        <item x="16"/>
        <item x="13"/>
        <item x="35"/>
        <item x="20"/>
        <item x="36"/>
        <item x="24"/>
        <item x="6"/>
        <item x="62"/>
        <item x="38"/>
        <item x="12"/>
        <item x="3"/>
        <item x="70"/>
        <item x="23"/>
        <item x="25"/>
        <item x="7"/>
        <item x="71"/>
        <item x="63"/>
        <item x="39"/>
        <item x="15"/>
        <item x="61"/>
        <item x="65"/>
        <item x="8"/>
        <item x="60"/>
        <item x="40"/>
        <item x="66"/>
        <item x="33"/>
        <item x="2"/>
        <item x="21"/>
        <item x="41"/>
        <item x="5"/>
        <item x="1"/>
        <item x="0"/>
        <item x="73"/>
        <item x="74"/>
        <item x="43"/>
        <item x="17"/>
        <item x="4"/>
        <item x="14"/>
        <item x="11"/>
        <item x="44"/>
        <item x="42"/>
        <item x="19"/>
        <item x="45"/>
        <item x="59"/>
        <item x="68"/>
        <item x="58"/>
        <item x="34"/>
        <item x="26"/>
        <item x="64"/>
        <item x="31"/>
        <item x="69"/>
        <item x="30"/>
        <item x="46"/>
        <item x="18"/>
        <item x="57"/>
        <item x="32"/>
        <item x="56"/>
        <item x="55"/>
        <item x="54"/>
        <item x="47"/>
        <item x="22"/>
        <item x="48"/>
        <item x="53"/>
        <item x="28"/>
        <item x="49"/>
        <item x="50"/>
        <item x="10"/>
        <item x="51"/>
        <item x="9"/>
        <item x="29"/>
        <item x="67"/>
        <item x="37"/>
        <item x="27"/>
        <item x="52"/>
        <item x="72"/>
        <item x="75"/>
        <item x="76"/>
        <item x="77"/>
        <item x="78"/>
        <item x="79"/>
        <item x="80"/>
        <item x="81"/>
        <item t="default"/>
      </items>
    </pivotField>
    <pivotField showAll="0"/>
    <pivotField axis="axisRow" showAll="0">
      <items count="12">
        <item sd="0" x="5"/>
        <item sd="0" x="6"/>
        <item sd="0" x="1"/>
        <item sd="0" x="7"/>
        <item sd="0" x="2"/>
        <item sd="0" x="8"/>
        <item sd="0" x="4"/>
        <item sd="0" x="0"/>
        <item sd="0" x="3"/>
        <item x="9"/>
        <item x="1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7">
        <item m="1" x="5"/>
        <item x="0"/>
        <item x="3"/>
        <item m="1"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</pivotFields>
  <rowFields count="2">
    <field x="5"/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r="1">
      <x v="46"/>
    </i>
    <i>
      <x v="10"/>
    </i>
    <i r="1">
      <x v="46"/>
    </i>
    <i t="grand">
      <x/>
    </i>
  </rowItems>
  <colItems count="1">
    <i/>
  </colItems>
  <pageFields count="1">
    <pageField fld="13" item="1" hier="-1"/>
  </pageFields>
  <dataFields count="1">
    <dataField name="Suma de CantidadPedida" fld="8" baseField="5" baseItem="8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C5DFC465-E67C-467D-BFA5-D6274D0056BA}" autoFormatId="16" applyNumberFormats="0" applyBorderFormats="0" applyFontFormats="0" applyPatternFormats="0" applyAlignmentFormats="0" applyWidthHeightFormats="0">
  <queryTableRefresh nextId="42" unboundColumnsRight="2">
    <queryTableFields count="41">
      <queryTableField id="1" name="Pedido" tableColumnId="1"/>
      <queryTableField id="2" name="Item" tableColumnId="2"/>
      <queryTableField id="3" name="Calidad" tableColumnId="3"/>
      <queryTableField id="4" name="RazonSocial" tableColumnId="4"/>
      <queryTableField id="5" name="CodArticulo" tableColumnId="5"/>
      <queryTableField id="6" name="Articulo" tableColumnId="6"/>
      <queryTableField id="7" name="CodColor" tableColumnId="7"/>
      <queryTableField id="8" name="Color" tableColumnId="8"/>
      <queryTableField id="9" name="CantidadPedida" tableColumnId="9"/>
      <queryTableField id="10" name="Precio" tableColumnId="10"/>
      <queryTableField id="11" name="CantidadPreparada" tableColumnId="11"/>
      <queryTableField id="12" name="CantidadRomaneada" tableColumnId="12"/>
      <queryTableField id="13" name="KgMtPreparados" tableColumnId="13"/>
      <queryTableField id="14" name="Estado" tableColumnId="14"/>
      <queryTableField id="15" name="Deposito" tableColumnId="15"/>
      <queryTableField id="16" name="Vtas_Fact_Empresa" tableColumnId="16"/>
      <queryTableField id="17" name="Vtas_Fact_Formulario" tableColumnId="17"/>
      <queryTableField id="18" name="Vtas_Fact_PDF" tableColumnId="18"/>
      <queryTableField id="19" name="Vtas_Remito_Formulario" tableColumnId="19"/>
      <queryTableField id="20" name="Vtas_Remito_PDF" tableColumnId="20"/>
      <queryTableField id="21" name="Rom_Mov_Tipo" tableColumnId="21"/>
      <queryTableField id="22" name="Rom_Mov_Numero" tableColumnId="22"/>
      <queryTableField id="23" name="Vtas_Fact_fecha" tableColumnId="23"/>
      <queryTableField id="24" name="Vendedor" tableColumnId="24"/>
      <queryTableField id="25" name="PD_Id" tableColumnId="25"/>
      <queryTableField id="26" name="Alta" tableColumnId="26"/>
      <queryTableField id="27" name="Asignado" tableColumnId="27"/>
      <queryTableField id="28" name="EnPr" tableColumnId="28"/>
      <queryTableField id="29" name="Prep" tableColumnId="29"/>
      <queryTableField id="30" name="ARom" tableColumnId="30"/>
      <queryTableField id="31" name="Roma" tableColumnId="31"/>
      <queryTableField id="32" name="Fac" tableColumnId="32"/>
      <queryTableField id="33" name="Lib" tableColumnId="33"/>
      <queryTableField id="34" name="Ent" tableColumnId="34"/>
      <queryTableField id="35" name="desh" tableColumnId="35"/>
      <queryTableField id="36" name="Con" tableColumnId="36"/>
      <queryTableField id="37" name="Baja" tableColumnId="37"/>
      <queryTableField id="38" name="Anul" tableColumnId="38"/>
      <queryTableField id="39" name="Articulos.Familia" tableColumnId="39"/>
      <queryTableField id="40" dataBound="0" tableColumnId="40"/>
      <queryTableField id="41" dataBound="0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3E3879-0849-42BF-B1CC-C795D7424BBA}" name="Pedidos_Pistachos" displayName="Pedidos_Pistachos" ref="A1:AO242" tableType="queryTable" totalsRowCount="1">
  <autoFilter ref="A1:AO241" xr:uid="{673E3879-0849-42BF-B1CC-C795D7424BBA}"/>
  <sortState xmlns:xlrd2="http://schemas.microsoft.com/office/spreadsheetml/2017/richdata2" ref="A2:AO241">
    <sortCondition ref="AF1:AF241"/>
  </sortState>
  <tableColumns count="41">
    <tableColumn id="1" xr3:uid="{56B6CD12-44F2-4BB7-A555-0D90FD6B3279}" uniqueName="1" name="Pedido" queryTableFieldId="1"/>
    <tableColumn id="2" xr3:uid="{EAA8DAD5-6B7A-4905-B6B0-0D4C77670909}" uniqueName="2" name="Item" queryTableFieldId="2"/>
    <tableColumn id="3" xr3:uid="{B4D7B270-6DA9-4C1F-B8D8-CE21350AF13A}" uniqueName="3" name="Calidad" queryTableFieldId="3" dataDxfId="36"/>
    <tableColumn id="4" xr3:uid="{405E1DB5-C730-4E5A-B7EB-54A92AD38A47}" uniqueName="4" name="RazonSocial" queryTableFieldId="4" dataDxfId="35"/>
    <tableColumn id="5" xr3:uid="{E710C568-B622-4D2A-86A7-066ED1EEC098}" uniqueName="5" name="CodArticulo" queryTableFieldId="5" dataDxfId="34"/>
    <tableColumn id="6" xr3:uid="{33BD2537-8B0C-4016-A5CA-B7899173953E}" uniqueName="6" name="Articulo" queryTableFieldId="6" dataDxfId="33"/>
    <tableColumn id="7" xr3:uid="{ECEBA59D-6BEC-433C-A54E-F2E9A6140096}" uniqueName="7" name="CodColor" queryTableFieldId="7" dataDxfId="32"/>
    <tableColumn id="8" xr3:uid="{DB42D861-3B06-4B2F-868C-EBE423E25B58}" uniqueName="8" name="Color" queryTableFieldId="8" dataDxfId="31"/>
    <tableColumn id="9" xr3:uid="{6B883C96-62E9-4031-8AF7-6C724D3A3D35}" uniqueName="9" name="CantidadPedida" totalsRowFunction="sum" queryTableFieldId="9" dataDxfId="30" totalsRowDxfId="60"/>
    <tableColumn id="10" xr3:uid="{4AB83845-20CA-4916-823D-160D057DDC9C}" uniqueName="10" name="Precio" queryTableFieldId="10" dataDxfId="29"/>
    <tableColumn id="11" xr3:uid="{F74A9355-2C25-45ED-97EB-D904FAECC9DF}" uniqueName="11" name="CantidadPreparada" totalsRowFunction="sum" queryTableFieldId="11" dataDxfId="28" totalsRowDxfId="59"/>
    <tableColumn id="12" xr3:uid="{880A8F98-0D5D-4570-A036-68265BC66784}" uniqueName="12" name="CantidadRomaneada" totalsRowFunction="sum" queryTableFieldId="12" dataDxfId="27" totalsRowDxfId="58"/>
    <tableColumn id="13" xr3:uid="{31E9C4D3-C168-4D36-9094-5378D46C1532}" uniqueName="13" name="KgMtPreparados" totalsRowFunction="sum" queryTableFieldId="13" dataDxfId="26" totalsRowDxfId="57"/>
    <tableColumn id="14" xr3:uid="{8AFFA637-B39D-47D6-B07F-B5E80DD174E0}" uniqueName="14" name="Estado" queryTableFieldId="14" dataDxfId="25"/>
    <tableColumn id="15" xr3:uid="{B89A1B12-ED1B-4F82-8B61-154F8C01C2A2}" uniqueName="15" name="Deposito" queryTableFieldId="15" dataDxfId="24"/>
    <tableColumn id="16" xr3:uid="{C39EA892-5880-4B09-B7E0-667BEC35E669}" uniqueName="16" name="Vtas_Fact_Empresa" queryTableFieldId="16" dataDxfId="23"/>
    <tableColumn id="17" xr3:uid="{20BFDCCF-AF24-4B2F-AA52-0D6C363B8317}" uniqueName="17" name="Vtas_Fact_Formulario" queryTableFieldId="17" dataDxfId="22"/>
    <tableColumn id="18" xr3:uid="{57600DD4-0543-4BBD-8669-7CBC421AC5C9}" uniqueName="18" name="Vtas_Fact_PDF" queryTableFieldId="18" dataDxfId="21"/>
    <tableColumn id="19" xr3:uid="{2FC07DDB-D035-4E11-94C3-18430D39A8C0}" uniqueName="19" name="Vtas_Remito_Formulario" queryTableFieldId="19" dataDxfId="20"/>
    <tableColumn id="20" xr3:uid="{EAECBF2D-48AB-4C04-AA34-452533ECF85B}" uniqueName="20" name="Vtas_Remito_PDF" queryTableFieldId="20" dataDxfId="19"/>
    <tableColumn id="21" xr3:uid="{C0042358-B5D8-4382-AE4E-7D8A88F9DF04}" uniqueName="21" name="Rom_Mov_Tipo" queryTableFieldId="21" dataDxfId="18"/>
    <tableColumn id="22" xr3:uid="{72F9208A-B5CD-4809-A8B3-8374A4CE9EEC}" uniqueName="22" name="Rom_Mov_Numero" queryTableFieldId="22"/>
    <tableColumn id="23" xr3:uid="{69FA6628-1D2F-41B5-BDAE-9A252016D073}" uniqueName="23" name="Vtas_Fact_fecha" queryTableFieldId="23" dataDxfId="17" totalsRowDxfId="56"/>
    <tableColumn id="24" xr3:uid="{5CEC2370-69B9-45AF-A9E1-BD35AAB7AD71}" uniqueName="24" name="Vendedor" queryTableFieldId="24" dataDxfId="16"/>
    <tableColumn id="25" xr3:uid="{406800FB-95D1-4152-A8CF-31AFA8E7B826}" uniqueName="25" name="PD_Id" queryTableFieldId="25"/>
    <tableColumn id="26" xr3:uid="{AEBE0D25-FED1-4EBF-8B65-58288E7E3F9F}" uniqueName="26" name="Alta" queryTableFieldId="26" dataDxfId="15" totalsRowDxfId="55"/>
    <tableColumn id="27" xr3:uid="{24F15FEB-7E2A-473B-A2D1-F0142C65D2E1}" uniqueName="27" name="Asignado" queryTableFieldId="27" dataDxfId="14" totalsRowDxfId="54"/>
    <tableColumn id="28" xr3:uid="{92454AD2-28B8-4798-ADFB-D5053680B314}" uniqueName="28" name="EnPr" queryTableFieldId="28" dataDxfId="13" totalsRowDxfId="53"/>
    <tableColumn id="29" xr3:uid="{B87912E6-D66F-4A46-81DE-3D6BB2B1C3EC}" uniqueName="29" name="Prep" queryTableFieldId="29" dataDxfId="12" totalsRowDxfId="52"/>
    <tableColumn id="30" xr3:uid="{2EBF7241-41E5-473C-BD38-2D0840E1E7CC}" uniqueName="30" name="ARom" queryTableFieldId="30" dataDxfId="11" totalsRowDxfId="51"/>
    <tableColumn id="31" xr3:uid="{28A5AA65-F86F-441C-ABC3-73C4453F1F07}" uniqueName="31" name="Roma" queryTableFieldId="31" dataDxfId="10" totalsRowDxfId="50"/>
    <tableColumn id="32" xr3:uid="{4C948407-DBF0-4A3B-B96F-86F9502610F1}" uniqueName="32" name="Fac" queryTableFieldId="32" dataDxfId="9" totalsRowDxfId="49"/>
    <tableColumn id="33" xr3:uid="{B49A671C-5B0D-4B89-8116-9D740B82FC5C}" uniqueName="33" name="Lib" queryTableFieldId="33" dataDxfId="8" totalsRowDxfId="48"/>
    <tableColumn id="34" xr3:uid="{66C8F081-B673-4793-9750-CE01315E6E06}" uniqueName="34" name="Ent" queryTableFieldId="34" dataDxfId="7" totalsRowDxfId="47"/>
    <tableColumn id="35" xr3:uid="{D261BAA1-6BBA-4D61-BA22-477D79E49362}" uniqueName="35" name="desh" queryTableFieldId="35" dataDxfId="6" totalsRowDxfId="46"/>
    <tableColumn id="36" xr3:uid="{ECC15F00-44AD-4711-A8D1-C5364CDAB8D2}" uniqueName="36" name="Con" queryTableFieldId="36" dataDxfId="5" totalsRowDxfId="45"/>
    <tableColumn id="37" xr3:uid="{8CD92061-5CD7-41A7-98CF-36919DC20A59}" uniqueName="37" name="Baja" queryTableFieldId="37" dataDxfId="4" totalsRowDxfId="44"/>
    <tableColumn id="38" xr3:uid="{1C3750E7-68FB-4CB3-BA18-8EF979E3256D}" uniqueName="38" name="Anul" queryTableFieldId="38" dataDxfId="3" totalsRowDxfId="43"/>
    <tableColumn id="39" xr3:uid="{AB6207AC-C1EC-4A0B-96DD-F8A5CAB29EFB}" uniqueName="39" name="Articulos.Familia" queryTableFieldId="39" dataDxfId="2"/>
    <tableColumn id="40" xr3:uid="{1C406FB8-311F-4DD3-AE9B-BA6B845099E5}" uniqueName="40" name="Cajas" queryTableFieldId="40" dataDxfId="1" totalsRowDxfId="42">
      <calculatedColumnFormula>+Pedidos_Pistachos[[#This Row],[CantidadPedida]]</calculatedColumnFormula>
    </tableColumn>
    <tableColumn id="41" xr3:uid="{442121D2-CD03-40AD-800C-16F0AE3A9AF9}" uniqueName="41" name="Bolsas" queryTableFieldId="41" dataDxfId="0" totalsRowDxfId="41">
      <calculatedColumnFormula>+Pedidos_Pistachos[[#This Row],[Cajas]]*2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2271-370E-46A0-ACC3-88E337E721D0}">
  <dimension ref="A1:B25"/>
  <sheetViews>
    <sheetView workbookViewId="0">
      <selection activeCell="A4" sqref="A4"/>
    </sheetView>
  </sheetViews>
  <sheetFormatPr baseColWidth="10" defaultRowHeight="15" x14ac:dyDescent="0.25"/>
  <cols>
    <col min="1" max="1" width="44.42578125" bestFit="1" customWidth="1"/>
    <col min="2" max="2" width="23.7109375" customWidth="1"/>
    <col min="3" max="3" width="15" bestFit="1" customWidth="1"/>
    <col min="4" max="4" width="15" customWidth="1"/>
    <col min="5" max="5" width="31.42578125" customWidth="1"/>
    <col min="6" max="6" width="12.5703125" bestFit="1" customWidth="1"/>
  </cols>
  <sheetData>
    <row r="1" spans="1:2" x14ac:dyDescent="0.25">
      <c r="A1" s="3" t="s">
        <v>13</v>
      </c>
      <c r="B1" t="s">
        <v>42</v>
      </c>
    </row>
    <row r="3" spans="1:2" x14ac:dyDescent="0.25">
      <c r="A3" s="3" t="s">
        <v>683</v>
      </c>
      <c r="B3" t="s">
        <v>685</v>
      </c>
    </row>
    <row r="4" spans="1:2" x14ac:dyDescent="0.25">
      <c r="A4" s="4" t="s">
        <v>595</v>
      </c>
      <c r="B4" s="6">
        <v>1500</v>
      </c>
    </row>
    <row r="5" spans="1:2" x14ac:dyDescent="0.25">
      <c r="A5" s="4" t="s">
        <v>45</v>
      </c>
      <c r="B5" s="5">
        <v>6445</v>
      </c>
    </row>
    <row r="6" spans="1:2" x14ac:dyDescent="0.25">
      <c r="A6" s="7" t="s">
        <v>132</v>
      </c>
      <c r="B6" s="6">
        <v>210</v>
      </c>
    </row>
    <row r="7" spans="1:2" x14ac:dyDescent="0.25">
      <c r="A7" s="7" t="s">
        <v>96</v>
      </c>
      <c r="B7" s="6">
        <v>420</v>
      </c>
    </row>
    <row r="8" spans="1:2" x14ac:dyDescent="0.25">
      <c r="A8" s="7" t="s">
        <v>607</v>
      </c>
      <c r="B8" s="6">
        <v>140</v>
      </c>
    </row>
    <row r="9" spans="1:2" x14ac:dyDescent="0.25">
      <c r="A9" s="7" t="s">
        <v>238</v>
      </c>
      <c r="B9" s="6">
        <v>70</v>
      </c>
    </row>
    <row r="10" spans="1:2" x14ac:dyDescent="0.25">
      <c r="A10" s="7" t="s">
        <v>111</v>
      </c>
      <c r="B10" s="6">
        <v>70</v>
      </c>
    </row>
    <row r="11" spans="1:2" x14ac:dyDescent="0.25">
      <c r="A11" s="7" t="s">
        <v>643</v>
      </c>
      <c r="B11" s="6">
        <v>210</v>
      </c>
    </row>
    <row r="12" spans="1:2" x14ac:dyDescent="0.25">
      <c r="A12" s="7" t="s">
        <v>43</v>
      </c>
      <c r="B12" s="6">
        <v>210</v>
      </c>
    </row>
    <row r="13" spans="1:2" x14ac:dyDescent="0.25">
      <c r="A13" s="7" t="s">
        <v>513</v>
      </c>
      <c r="B13" s="6">
        <v>5</v>
      </c>
    </row>
    <row r="14" spans="1:2" x14ac:dyDescent="0.25">
      <c r="A14" s="7" t="s">
        <v>252</v>
      </c>
      <c r="B14" s="6">
        <v>210</v>
      </c>
    </row>
    <row r="15" spans="1:2" x14ac:dyDescent="0.25">
      <c r="A15" s="7" t="s">
        <v>247</v>
      </c>
      <c r="B15" s="6">
        <v>140</v>
      </c>
    </row>
    <row r="16" spans="1:2" x14ac:dyDescent="0.25">
      <c r="A16" s="7" t="s">
        <v>167</v>
      </c>
      <c r="B16" s="6">
        <v>2870</v>
      </c>
    </row>
    <row r="17" spans="1:2" x14ac:dyDescent="0.25">
      <c r="A17" s="7" t="s">
        <v>407</v>
      </c>
      <c r="B17" s="6">
        <v>1890</v>
      </c>
    </row>
    <row r="18" spans="1:2" x14ac:dyDescent="0.25">
      <c r="A18" s="4" t="s">
        <v>606</v>
      </c>
      <c r="B18" s="5">
        <v>1801</v>
      </c>
    </row>
    <row r="19" spans="1:2" x14ac:dyDescent="0.25">
      <c r="A19" s="4" t="s">
        <v>56</v>
      </c>
      <c r="B19" s="6">
        <v>5843</v>
      </c>
    </row>
    <row r="20" spans="1:2" x14ac:dyDescent="0.25">
      <c r="A20" s="4" t="s">
        <v>620</v>
      </c>
      <c r="B20" s="6">
        <v>666</v>
      </c>
    </row>
    <row r="21" spans="1:2" x14ac:dyDescent="0.25">
      <c r="A21" s="4" t="s">
        <v>127</v>
      </c>
      <c r="B21" s="5">
        <v>3061</v>
      </c>
    </row>
    <row r="22" spans="1:2" x14ac:dyDescent="0.25">
      <c r="A22" s="4" t="s">
        <v>603</v>
      </c>
      <c r="B22" s="5">
        <v>3967</v>
      </c>
    </row>
    <row r="23" spans="1:2" x14ac:dyDescent="0.25">
      <c r="A23" s="4" t="s">
        <v>62</v>
      </c>
      <c r="B23" s="6">
        <v>7300</v>
      </c>
    </row>
    <row r="24" spans="1:2" x14ac:dyDescent="0.25">
      <c r="A24" s="4" t="s">
        <v>219</v>
      </c>
      <c r="B24" s="6">
        <v>2290</v>
      </c>
    </row>
    <row r="25" spans="1:2" x14ac:dyDescent="0.25">
      <c r="A25" s="4" t="s">
        <v>684</v>
      </c>
      <c r="B25" s="5">
        <v>32873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0B8B-E199-456B-BC87-8DC2DAE90837}">
  <dimension ref="A1:AO242"/>
  <sheetViews>
    <sheetView tabSelected="1" topLeftCell="R202" zoomScale="85" zoomScaleNormal="85" workbookViewId="0">
      <selection activeCell="A232" sqref="A232"/>
    </sheetView>
  </sheetViews>
  <sheetFormatPr baseColWidth="10" defaultRowHeight="15" x14ac:dyDescent="0.25"/>
  <cols>
    <col min="1" max="1" width="9.5703125" bestFit="1" customWidth="1"/>
    <col min="2" max="2" width="7.7109375" bestFit="1" customWidth="1"/>
    <col min="3" max="3" width="10.28515625" bestFit="1" customWidth="1"/>
    <col min="4" max="4" width="40.5703125" bestFit="1" customWidth="1"/>
    <col min="5" max="5" width="14" bestFit="1" customWidth="1"/>
    <col min="6" max="6" width="31" bestFit="1" customWidth="1"/>
    <col min="7" max="7" width="12" bestFit="1" customWidth="1"/>
    <col min="8" max="8" width="27.7109375" bestFit="1" customWidth="1"/>
    <col min="9" max="9" width="17.5703125" bestFit="1" customWidth="1"/>
    <col min="10" max="10" width="9.28515625" bestFit="1" customWidth="1"/>
    <col min="11" max="11" width="20.5703125" bestFit="1" customWidth="1"/>
    <col min="12" max="12" width="22.140625" bestFit="1" customWidth="1"/>
    <col min="13" max="13" width="17.85546875" bestFit="1" customWidth="1"/>
    <col min="14" max="14" width="9.5703125" bestFit="1" customWidth="1"/>
    <col min="15" max="15" width="22.7109375" bestFit="1" customWidth="1"/>
    <col min="16" max="16" width="20.7109375" bestFit="1" customWidth="1"/>
    <col min="17" max="17" width="22.42578125" bestFit="1" customWidth="1"/>
    <col min="18" max="18" width="25.28515625" bestFit="1" customWidth="1"/>
    <col min="19" max="19" width="25.42578125" bestFit="1" customWidth="1"/>
    <col min="20" max="20" width="22.85546875" bestFit="1" customWidth="1"/>
    <col min="21" max="21" width="16.7109375" bestFit="1" customWidth="1"/>
    <col min="22" max="22" width="20.28515625" bestFit="1" customWidth="1"/>
    <col min="23" max="23" width="17.85546875" bestFit="1" customWidth="1"/>
    <col min="24" max="24" width="14.85546875" bestFit="1" customWidth="1"/>
    <col min="25" max="25" width="8.7109375" bestFit="1" customWidth="1"/>
    <col min="26" max="26" width="10.5703125" bestFit="1" customWidth="1"/>
    <col min="27" max="27" width="11.5703125" bestFit="1" customWidth="1"/>
    <col min="28" max="33" width="10.5703125" bestFit="1" customWidth="1"/>
    <col min="34" max="34" width="6.5703125" bestFit="1" customWidth="1"/>
    <col min="35" max="35" width="7.85546875" bestFit="1" customWidth="1"/>
    <col min="36" max="36" width="7.140625" bestFit="1" customWidth="1"/>
    <col min="37" max="37" width="7.5703125" bestFit="1" customWidth="1"/>
    <col min="38" max="38" width="10.5703125" bestFit="1" customWidth="1"/>
    <col min="39" max="39" width="18.42578125" bestFit="1" customWidth="1"/>
    <col min="40" max="40" width="8.7109375" style="2" bestFit="1" customWidth="1"/>
    <col min="41" max="41" width="9.5703125" style="2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621</v>
      </c>
      <c r="AN1" s="2" t="s">
        <v>681</v>
      </c>
      <c r="AO1" s="2" t="s">
        <v>682</v>
      </c>
    </row>
    <row r="2" spans="1:41" x14ac:dyDescent="0.25">
      <c r="A2">
        <v>76300</v>
      </c>
      <c r="B2">
        <v>1</v>
      </c>
      <c r="C2" s="9" t="s">
        <v>38</v>
      </c>
      <c r="D2" s="9" t="s">
        <v>111</v>
      </c>
      <c r="E2" s="9" t="s">
        <v>61</v>
      </c>
      <c r="F2" s="9" t="s">
        <v>62</v>
      </c>
      <c r="G2" s="9" t="s">
        <v>46</v>
      </c>
      <c r="H2" s="9" t="s">
        <v>47</v>
      </c>
      <c r="I2" s="6">
        <v>70</v>
      </c>
      <c r="J2" s="8">
        <v>17.2</v>
      </c>
      <c r="K2" s="6">
        <v>70</v>
      </c>
      <c r="L2" s="6">
        <v>70</v>
      </c>
      <c r="M2" s="6">
        <v>700</v>
      </c>
      <c r="N2" s="9" t="s">
        <v>42</v>
      </c>
      <c r="O2" s="9" t="s">
        <v>48</v>
      </c>
      <c r="P2" s="9" t="s">
        <v>41</v>
      </c>
      <c r="Q2" s="9" t="s">
        <v>112</v>
      </c>
      <c r="R2" s="9" t="s">
        <v>113</v>
      </c>
      <c r="S2" s="9" t="s">
        <v>114</v>
      </c>
      <c r="T2" s="9" t="s">
        <v>115</v>
      </c>
      <c r="U2" s="9" t="s">
        <v>39</v>
      </c>
      <c r="V2">
        <v>128885</v>
      </c>
      <c r="W2" s="1">
        <v>45852</v>
      </c>
      <c r="X2" s="9" t="s">
        <v>53</v>
      </c>
      <c r="Y2">
        <v>147781</v>
      </c>
      <c r="Z2" s="1">
        <v>45840</v>
      </c>
      <c r="AA2" s="1">
        <v>45840</v>
      </c>
      <c r="AB2" s="1">
        <v>45842</v>
      </c>
      <c r="AC2" s="1">
        <v>45842</v>
      </c>
      <c r="AD2" s="1">
        <v>45842</v>
      </c>
      <c r="AE2" s="1">
        <v>45842</v>
      </c>
      <c r="AF2" s="1">
        <v>45842</v>
      </c>
      <c r="AG2" s="1"/>
      <c r="AH2" s="1"/>
      <c r="AI2" s="1"/>
      <c r="AJ2" s="1"/>
      <c r="AK2" s="1"/>
      <c r="AL2" s="1"/>
      <c r="AM2" s="9" t="s">
        <v>619</v>
      </c>
      <c r="AN2" s="2">
        <f>+Pedidos_Pistachos[[#This Row],[CantidadPedida]]</f>
        <v>70</v>
      </c>
      <c r="AO2" s="2">
        <f>+Pedidos_Pistachos[[#This Row],[Cajas]]*2</f>
        <v>140</v>
      </c>
    </row>
    <row r="3" spans="1:41" x14ac:dyDescent="0.25">
      <c r="A3">
        <v>76278</v>
      </c>
      <c r="B3">
        <v>1</v>
      </c>
      <c r="C3" s="9" t="s">
        <v>40</v>
      </c>
      <c r="D3" s="9" t="s">
        <v>106</v>
      </c>
      <c r="E3" s="9" t="s">
        <v>61</v>
      </c>
      <c r="F3" s="9" t="s">
        <v>62</v>
      </c>
      <c r="G3" s="9" t="s">
        <v>46</v>
      </c>
      <c r="H3" s="9" t="s">
        <v>47</v>
      </c>
      <c r="I3" s="6">
        <v>70</v>
      </c>
      <c r="J3" s="8">
        <v>17.75</v>
      </c>
      <c r="K3" s="6">
        <v>70</v>
      </c>
      <c r="L3" s="6">
        <v>70</v>
      </c>
      <c r="M3" s="6">
        <v>700</v>
      </c>
      <c r="N3" s="9" t="s">
        <v>42</v>
      </c>
      <c r="O3" s="9" t="s">
        <v>48</v>
      </c>
      <c r="P3" s="9" t="s">
        <v>41</v>
      </c>
      <c r="Q3" s="9" t="s">
        <v>107</v>
      </c>
      <c r="R3" s="9" t="s">
        <v>108</v>
      </c>
      <c r="S3" s="9" t="s">
        <v>109</v>
      </c>
      <c r="T3" s="9" t="s">
        <v>110</v>
      </c>
      <c r="U3" s="9" t="s">
        <v>39</v>
      </c>
      <c r="V3">
        <v>128894</v>
      </c>
      <c r="W3" s="1">
        <v>45842</v>
      </c>
      <c r="X3" s="9" t="s">
        <v>69</v>
      </c>
      <c r="Y3">
        <v>147651</v>
      </c>
      <c r="Z3" s="1">
        <v>45839</v>
      </c>
      <c r="AA3" s="1">
        <v>45839</v>
      </c>
      <c r="AB3" s="1">
        <v>45842</v>
      </c>
      <c r="AC3" s="1">
        <v>45842</v>
      </c>
      <c r="AD3" s="1">
        <v>45842</v>
      </c>
      <c r="AE3" s="1">
        <v>45842</v>
      </c>
      <c r="AF3" s="1">
        <v>45842</v>
      </c>
      <c r="AG3" s="1"/>
      <c r="AH3" s="1"/>
      <c r="AI3" s="1"/>
      <c r="AJ3" s="1"/>
      <c r="AK3" s="1"/>
      <c r="AL3" s="1"/>
      <c r="AM3" s="9" t="s">
        <v>619</v>
      </c>
      <c r="AN3" s="2">
        <f>+Pedidos_Pistachos[[#This Row],[CantidadPedida]]</f>
        <v>70</v>
      </c>
      <c r="AO3" s="2">
        <f>+Pedidos_Pistachos[[#This Row],[Cajas]]*2</f>
        <v>140</v>
      </c>
    </row>
    <row r="4" spans="1:41" x14ac:dyDescent="0.25">
      <c r="A4">
        <v>76273</v>
      </c>
      <c r="B4">
        <v>1</v>
      </c>
      <c r="C4" s="9" t="s">
        <v>40</v>
      </c>
      <c r="D4" s="9" t="s">
        <v>101</v>
      </c>
      <c r="E4" s="9" t="s">
        <v>61</v>
      </c>
      <c r="F4" s="9" t="s">
        <v>62</v>
      </c>
      <c r="G4" s="9" t="s">
        <v>46</v>
      </c>
      <c r="H4" s="9" t="s">
        <v>47</v>
      </c>
      <c r="I4" s="6">
        <v>70</v>
      </c>
      <c r="J4" s="8">
        <v>17.75</v>
      </c>
      <c r="K4" s="6">
        <v>70</v>
      </c>
      <c r="L4" s="6">
        <v>70</v>
      </c>
      <c r="M4" s="6">
        <v>700</v>
      </c>
      <c r="N4" s="9" t="s">
        <v>42</v>
      </c>
      <c r="O4" s="9" t="s">
        <v>48</v>
      </c>
      <c r="P4" s="9" t="s">
        <v>41</v>
      </c>
      <c r="Q4" s="9" t="s">
        <v>102</v>
      </c>
      <c r="R4" s="9" t="s">
        <v>103</v>
      </c>
      <c r="S4" s="9" t="s">
        <v>104</v>
      </c>
      <c r="T4" s="9" t="s">
        <v>105</v>
      </c>
      <c r="U4" s="9" t="s">
        <v>39</v>
      </c>
      <c r="V4">
        <v>128898</v>
      </c>
      <c r="W4" s="1">
        <v>45842</v>
      </c>
      <c r="X4" s="9" t="s">
        <v>53</v>
      </c>
      <c r="Y4">
        <v>147588</v>
      </c>
      <c r="Z4" s="1">
        <v>45839</v>
      </c>
      <c r="AA4" s="1">
        <v>45839</v>
      </c>
      <c r="AB4" s="1">
        <v>45842</v>
      </c>
      <c r="AC4" s="1">
        <v>45842</v>
      </c>
      <c r="AD4" s="1">
        <v>45842</v>
      </c>
      <c r="AE4" s="1">
        <v>45842</v>
      </c>
      <c r="AF4" s="1">
        <v>45842</v>
      </c>
      <c r="AG4" s="1"/>
      <c r="AH4" s="1"/>
      <c r="AI4" s="1"/>
      <c r="AJ4" s="1"/>
      <c r="AK4" s="1"/>
      <c r="AL4" s="1"/>
      <c r="AM4" s="9" t="s">
        <v>619</v>
      </c>
      <c r="AN4" s="2">
        <f>+Pedidos_Pistachos[[#This Row],[CantidadPedida]]</f>
        <v>70</v>
      </c>
      <c r="AO4" s="2">
        <f>+Pedidos_Pistachos[[#This Row],[Cajas]]*2</f>
        <v>140</v>
      </c>
    </row>
    <row r="5" spans="1:41" x14ac:dyDescent="0.25">
      <c r="A5">
        <v>76253</v>
      </c>
      <c r="B5">
        <v>1</v>
      </c>
      <c r="C5" s="9" t="s">
        <v>40</v>
      </c>
      <c r="D5" s="9" t="s">
        <v>96</v>
      </c>
      <c r="E5" s="9" t="s">
        <v>55</v>
      </c>
      <c r="F5" s="9" t="s">
        <v>56</v>
      </c>
      <c r="G5" s="9" t="s">
        <v>46</v>
      </c>
      <c r="H5" s="9" t="s">
        <v>47</v>
      </c>
      <c r="I5" s="6">
        <v>140</v>
      </c>
      <c r="J5" s="8">
        <v>26.3</v>
      </c>
      <c r="K5" s="6">
        <v>140</v>
      </c>
      <c r="L5" s="6">
        <v>140</v>
      </c>
      <c r="M5" s="6">
        <v>1400</v>
      </c>
      <c r="N5" s="9" t="s">
        <v>42</v>
      </c>
      <c r="O5" s="9" t="s">
        <v>48</v>
      </c>
      <c r="P5" s="9" t="s">
        <v>41</v>
      </c>
      <c r="Q5" s="9" t="s">
        <v>97</v>
      </c>
      <c r="R5" s="9" t="s">
        <v>98</v>
      </c>
      <c r="S5" s="9" t="s">
        <v>99</v>
      </c>
      <c r="T5" s="9" t="s">
        <v>100</v>
      </c>
      <c r="U5" s="9" t="s">
        <v>39</v>
      </c>
      <c r="V5">
        <v>128909</v>
      </c>
      <c r="W5" s="1">
        <v>45842</v>
      </c>
      <c r="X5" s="9" t="s">
        <v>69</v>
      </c>
      <c r="Y5">
        <v>147522</v>
      </c>
      <c r="Z5" s="1">
        <v>45839</v>
      </c>
      <c r="AA5" s="1">
        <v>45839</v>
      </c>
      <c r="AB5" s="1">
        <v>45842</v>
      </c>
      <c r="AC5" s="1">
        <v>45842</v>
      </c>
      <c r="AD5" s="1">
        <v>45842</v>
      </c>
      <c r="AE5" s="1">
        <v>45842</v>
      </c>
      <c r="AF5" s="1">
        <v>45842</v>
      </c>
      <c r="AG5" s="1"/>
      <c r="AH5" s="1"/>
      <c r="AI5" s="1"/>
      <c r="AJ5" s="1"/>
      <c r="AK5" s="1"/>
      <c r="AL5" s="1"/>
      <c r="AM5" s="9" t="s">
        <v>619</v>
      </c>
      <c r="AN5" s="2">
        <f>+Pedidos_Pistachos[[#This Row],[CantidadPedida]]</f>
        <v>140</v>
      </c>
      <c r="AO5" s="2">
        <f>+Pedidos_Pistachos[[#This Row],[Cajas]]*2</f>
        <v>280</v>
      </c>
    </row>
    <row r="6" spans="1:41" x14ac:dyDescent="0.25">
      <c r="A6">
        <v>76252</v>
      </c>
      <c r="B6">
        <v>1</v>
      </c>
      <c r="C6" s="9" t="s">
        <v>38</v>
      </c>
      <c r="D6" s="9" t="s">
        <v>91</v>
      </c>
      <c r="E6" s="9" t="s">
        <v>55</v>
      </c>
      <c r="F6" s="9" t="s">
        <v>56</v>
      </c>
      <c r="G6" s="9" t="s">
        <v>46</v>
      </c>
      <c r="H6" s="9" t="s">
        <v>47</v>
      </c>
      <c r="I6" s="6">
        <v>70</v>
      </c>
      <c r="J6" s="8">
        <v>30.35</v>
      </c>
      <c r="K6" s="6">
        <v>70</v>
      </c>
      <c r="L6" s="6">
        <v>70</v>
      </c>
      <c r="M6" s="6">
        <v>700</v>
      </c>
      <c r="N6" s="9" t="s">
        <v>42</v>
      </c>
      <c r="O6" s="9" t="s">
        <v>48</v>
      </c>
      <c r="P6" s="9" t="s">
        <v>41</v>
      </c>
      <c r="Q6" s="9" t="s">
        <v>92</v>
      </c>
      <c r="R6" s="9" t="s">
        <v>93</v>
      </c>
      <c r="S6" s="9" t="s">
        <v>94</v>
      </c>
      <c r="T6" s="9" t="s">
        <v>95</v>
      </c>
      <c r="U6" s="9" t="s">
        <v>39</v>
      </c>
      <c r="V6">
        <v>128917</v>
      </c>
      <c r="W6" s="1">
        <v>45852</v>
      </c>
      <c r="X6" s="9" t="s">
        <v>69</v>
      </c>
      <c r="Y6">
        <v>147520</v>
      </c>
      <c r="Z6" s="1">
        <v>45839</v>
      </c>
      <c r="AA6" s="1">
        <v>45839</v>
      </c>
      <c r="AB6" s="1">
        <v>45842</v>
      </c>
      <c r="AC6" s="1">
        <v>45842</v>
      </c>
      <c r="AD6" s="1">
        <v>45842</v>
      </c>
      <c r="AE6" s="1">
        <v>45842</v>
      </c>
      <c r="AF6" s="1">
        <v>45842</v>
      </c>
      <c r="AG6" s="1"/>
      <c r="AH6" s="1"/>
      <c r="AI6" s="1"/>
      <c r="AJ6" s="1"/>
      <c r="AK6" s="1"/>
      <c r="AL6" s="1"/>
      <c r="AM6" s="9" t="s">
        <v>619</v>
      </c>
      <c r="AN6" s="2">
        <f>+Pedidos_Pistachos[[#This Row],[CantidadPedida]]</f>
        <v>70</v>
      </c>
      <c r="AO6" s="2">
        <f>+Pedidos_Pistachos[[#This Row],[Cajas]]*2</f>
        <v>140</v>
      </c>
    </row>
    <row r="7" spans="1:41" x14ac:dyDescent="0.25">
      <c r="A7">
        <v>76245</v>
      </c>
      <c r="B7">
        <v>1</v>
      </c>
      <c r="C7" s="9" t="s">
        <v>38</v>
      </c>
      <c r="D7" s="9" t="s">
        <v>86</v>
      </c>
      <c r="E7" s="9" t="s">
        <v>55</v>
      </c>
      <c r="F7" s="9" t="s">
        <v>56</v>
      </c>
      <c r="G7" s="9" t="s">
        <v>46</v>
      </c>
      <c r="H7" s="9" t="s">
        <v>47</v>
      </c>
      <c r="I7" s="6">
        <v>70</v>
      </c>
      <c r="J7" s="8">
        <v>30.35</v>
      </c>
      <c r="K7" s="6">
        <v>70</v>
      </c>
      <c r="L7" s="6">
        <v>70</v>
      </c>
      <c r="M7" s="6">
        <v>700</v>
      </c>
      <c r="N7" s="9" t="s">
        <v>42</v>
      </c>
      <c r="O7" s="9" t="s">
        <v>48</v>
      </c>
      <c r="P7" s="9" t="s">
        <v>41</v>
      </c>
      <c r="Q7" s="9" t="s">
        <v>87</v>
      </c>
      <c r="R7" s="9" t="s">
        <v>88</v>
      </c>
      <c r="S7" s="9" t="s">
        <v>89</v>
      </c>
      <c r="T7" s="9" t="s">
        <v>90</v>
      </c>
      <c r="U7" s="9" t="s">
        <v>39</v>
      </c>
      <c r="V7">
        <v>128918</v>
      </c>
      <c r="W7" s="1">
        <v>45842</v>
      </c>
      <c r="X7" s="9" t="s">
        <v>69</v>
      </c>
      <c r="Y7">
        <v>147488</v>
      </c>
      <c r="Z7" s="1">
        <v>45839</v>
      </c>
      <c r="AA7" s="1">
        <v>45839</v>
      </c>
      <c r="AB7" s="1">
        <v>45842</v>
      </c>
      <c r="AC7" s="1">
        <v>45842</v>
      </c>
      <c r="AD7" s="1">
        <v>45842</v>
      </c>
      <c r="AE7" s="1">
        <v>45842</v>
      </c>
      <c r="AF7" s="1">
        <v>45842</v>
      </c>
      <c r="AG7" s="1"/>
      <c r="AH7" s="1"/>
      <c r="AI7" s="1"/>
      <c r="AJ7" s="1"/>
      <c r="AK7" s="1"/>
      <c r="AL7" s="1"/>
      <c r="AM7" s="9" t="s">
        <v>619</v>
      </c>
      <c r="AN7" s="2">
        <f>+Pedidos_Pistachos[[#This Row],[CantidadPedida]]</f>
        <v>70</v>
      </c>
      <c r="AO7" s="2">
        <f>+Pedidos_Pistachos[[#This Row],[Cajas]]*2</f>
        <v>140</v>
      </c>
    </row>
    <row r="8" spans="1:41" x14ac:dyDescent="0.25">
      <c r="A8">
        <v>76243</v>
      </c>
      <c r="B8">
        <v>1</v>
      </c>
      <c r="C8" s="9" t="s">
        <v>40</v>
      </c>
      <c r="D8" s="9" t="s">
        <v>75</v>
      </c>
      <c r="E8" s="9" t="s">
        <v>55</v>
      </c>
      <c r="F8" s="9" t="s">
        <v>56</v>
      </c>
      <c r="G8" s="9" t="s">
        <v>46</v>
      </c>
      <c r="H8" s="9" t="s">
        <v>47</v>
      </c>
      <c r="I8" s="6">
        <v>70</v>
      </c>
      <c r="J8" s="8">
        <v>31.3</v>
      </c>
      <c r="K8" s="6">
        <v>70</v>
      </c>
      <c r="L8" s="6">
        <v>70</v>
      </c>
      <c r="M8" s="6">
        <v>700</v>
      </c>
      <c r="N8" s="9" t="s">
        <v>42</v>
      </c>
      <c r="O8" s="9" t="s">
        <v>48</v>
      </c>
      <c r="P8" s="9" t="s">
        <v>41</v>
      </c>
      <c r="Q8" s="9" t="s">
        <v>76</v>
      </c>
      <c r="R8" s="9" t="s">
        <v>85</v>
      </c>
      <c r="S8" s="9" t="s">
        <v>78</v>
      </c>
      <c r="T8" s="9" t="s">
        <v>79</v>
      </c>
      <c r="U8" s="9" t="s">
        <v>39</v>
      </c>
      <c r="V8">
        <v>128919</v>
      </c>
      <c r="W8" s="1">
        <v>45842</v>
      </c>
      <c r="X8" s="9" t="s">
        <v>69</v>
      </c>
      <c r="Y8">
        <v>147486</v>
      </c>
      <c r="Z8" s="1">
        <v>45839</v>
      </c>
      <c r="AA8" s="1">
        <v>45839</v>
      </c>
      <c r="AB8" s="1">
        <v>45842</v>
      </c>
      <c r="AC8" s="1">
        <v>45842</v>
      </c>
      <c r="AD8" s="1">
        <v>45842</v>
      </c>
      <c r="AE8" s="1">
        <v>45842</v>
      </c>
      <c r="AF8" s="1">
        <v>45842</v>
      </c>
      <c r="AG8" s="1"/>
      <c r="AH8" s="1"/>
      <c r="AI8" s="1"/>
      <c r="AJ8" s="1"/>
      <c r="AK8" s="1"/>
      <c r="AL8" s="1"/>
      <c r="AM8" s="9" t="s">
        <v>619</v>
      </c>
      <c r="AN8" s="2">
        <f>+Pedidos_Pistachos[[#This Row],[CantidadPedida]]</f>
        <v>70</v>
      </c>
      <c r="AO8" s="2">
        <f>+Pedidos_Pistachos[[#This Row],[Cajas]]*2</f>
        <v>140</v>
      </c>
    </row>
    <row r="9" spans="1:41" x14ac:dyDescent="0.25">
      <c r="A9">
        <v>76236</v>
      </c>
      <c r="B9">
        <v>1</v>
      </c>
      <c r="C9" s="9" t="s">
        <v>40</v>
      </c>
      <c r="D9" s="9" t="s">
        <v>80</v>
      </c>
      <c r="E9" s="9" t="s">
        <v>61</v>
      </c>
      <c r="F9" s="9" t="s">
        <v>62</v>
      </c>
      <c r="G9" s="9" t="s">
        <v>46</v>
      </c>
      <c r="H9" s="9" t="s">
        <v>47</v>
      </c>
      <c r="I9" s="6">
        <v>70</v>
      </c>
      <c r="J9" s="8">
        <v>17.5</v>
      </c>
      <c r="K9" s="6">
        <v>70</v>
      </c>
      <c r="L9" s="6">
        <v>70</v>
      </c>
      <c r="M9" s="6">
        <v>700</v>
      </c>
      <c r="N9" s="9" t="s">
        <v>42</v>
      </c>
      <c r="O9" s="9" t="s">
        <v>48</v>
      </c>
      <c r="P9" s="9" t="s">
        <v>41</v>
      </c>
      <c r="Q9" s="9" t="s">
        <v>81</v>
      </c>
      <c r="R9" s="9" t="s">
        <v>82</v>
      </c>
      <c r="S9" s="9" t="s">
        <v>83</v>
      </c>
      <c r="T9" s="9" t="s">
        <v>84</v>
      </c>
      <c r="U9" s="9" t="s">
        <v>39</v>
      </c>
      <c r="V9">
        <v>128920</v>
      </c>
      <c r="W9" s="1">
        <v>45845</v>
      </c>
      <c r="X9" s="9" t="s">
        <v>69</v>
      </c>
      <c r="Y9">
        <v>147464</v>
      </c>
      <c r="Z9" s="1">
        <v>45839</v>
      </c>
      <c r="AA9" s="1">
        <v>45839</v>
      </c>
      <c r="AB9" s="1">
        <v>45842</v>
      </c>
      <c r="AC9" s="1">
        <v>45842</v>
      </c>
      <c r="AD9" s="1">
        <v>45842</v>
      </c>
      <c r="AE9" s="1">
        <v>45842</v>
      </c>
      <c r="AF9" s="1">
        <v>45842</v>
      </c>
      <c r="AG9" s="1"/>
      <c r="AH9" s="1"/>
      <c r="AI9" s="1"/>
      <c r="AJ9" s="1"/>
      <c r="AK9" s="1"/>
      <c r="AL9" s="1"/>
      <c r="AM9" s="9" t="s">
        <v>619</v>
      </c>
      <c r="AN9" s="2">
        <f>+Pedidos_Pistachos[[#This Row],[CantidadPedida]]</f>
        <v>70</v>
      </c>
      <c r="AO9" s="2">
        <f>+Pedidos_Pistachos[[#This Row],[Cajas]]*2</f>
        <v>140</v>
      </c>
    </row>
    <row r="10" spans="1:41" x14ac:dyDescent="0.25">
      <c r="A10">
        <v>76222</v>
      </c>
      <c r="B10">
        <v>1</v>
      </c>
      <c r="C10" s="9" t="s">
        <v>40</v>
      </c>
      <c r="D10" s="9" t="s">
        <v>75</v>
      </c>
      <c r="E10" s="9" t="s">
        <v>61</v>
      </c>
      <c r="F10" s="9" t="s">
        <v>62</v>
      </c>
      <c r="G10" s="9" t="s">
        <v>46</v>
      </c>
      <c r="H10" s="9" t="s">
        <v>47</v>
      </c>
      <c r="I10" s="6">
        <v>70</v>
      </c>
      <c r="J10" s="8">
        <v>17.75</v>
      </c>
      <c r="K10" s="6">
        <v>70</v>
      </c>
      <c r="L10" s="6">
        <v>70</v>
      </c>
      <c r="M10" s="6">
        <v>700</v>
      </c>
      <c r="N10" s="9" t="s">
        <v>42</v>
      </c>
      <c r="O10" s="9" t="s">
        <v>48</v>
      </c>
      <c r="P10" s="9" t="s">
        <v>41</v>
      </c>
      <c r="Q10" s="9" t="s">
        <v>76</v>
      </c>
      <c r="R10" s="9" t="s">
        <v>77</v>
      </c>
      <c r="S10" s="9" t="s">
        <v>78</v>
      </c>
      <c r="T10" s="9" t="s">
        <v>79</v>
      </c>
      <c r="U10" s="9" t="s">
        <v>39</v>
      </c>
      <c r="V10">
        <v>128921</v>
      </c>
      <c r="W10" s="1">
        <v>45846</v>
      </c>
      <c r="X10" s="9" t="s">
        <v>69</v>
      </c>
      <c r="Y10">
        <v>147414</v>
      </c>
      <c r="Z10" s="1">
        <v>45838</v>
      </c>
      <c r="AA10" s="1">
        <v>45839</v>
      </c>
      <c r="AB10" s="1">
        <v>45842</v>
      </c>
      <c r="AC10" s="1">
        <v>45842</v>
      </c>
      <c r="AD10" s="1">
        <v>45842</v>
      </c>
      <c r="AE10" s="1">
        <v>45842</v>
      </c>
      <c r="AF10" s="1">
        <v>45842</v>
      </c>
      <c r="AG10" s="1"/>
      <c r="AH10" s="1"/>
      <c r="AI10" s="1"/>
      <c r="AJ10" s="1"/>
      <c r="AK10" s="1"/>
      <c r="AL10" s="1"/>
      <c r="AM10" s="9" t="s">
        <v>619</v>
      </c>
      <c r="AN10" s="2">
        <f>+Pedidos_Pistachos[[#This Row],[CantidadPedida]]</f>
        <v>70</v>
      </c>
      <c r="AO10" s="2">
        <f>+Pedidos_Pistachos[[#This Row],[Cajas]]*2</f>
        <v>140</v>
      </c>
    </row>
    <row r="11" spans="1:41" x14ac:dyDescent="0.25">
      <c r="A11">
        <v>76217</v>
      </c>
      <c r="B11">
        <v>1</v>
      </c>
      <c r="C11" s="9" t="s">
        <v>40</v>
      </c>
      <c r="D11" s="9" t="s">
        <v>70</v>
      </c>
      <c r="E11" s="9" t="s">
        <v>61</v>
      </c>
      <c r="F11" s="9" t="s">
        <v>62</v>
      </c>
      <c r="G11" s="9" t="s">
        <v>46</v>
      </c>
      <c r="H11" s="9" t="s">
        <v>47</v>
      </c>
      <c r="I11" s="6">
        <v>70</v>
      </c>
      <c r="J11" s="8">
        <v>17.75</v>
      </c>
      <c r="K11" s="6">
        <v>70</v>
      </c>
      <c r="L11" s="6">
        <v>70</v>
      </c>
      <c r="M11" s="6">
        <v>700</v>
      </c>
      <c r="N11" s="9" t="s">
        <v>42</v>
      </c>
      <c r="O11" s="9" t="s">
        <v>48</v>
      </c>
      <c r="P11" s="9" t="s">
        <v>41</v>
      </c>
      <c r="Q11" s="9" t="s">
        <v>71</v>
      </c>
      <c r="R11" s="9" t="s">
        <v>72</v>
      </c>
      <c r="S11" s="9" t="s">
        <v>73</v>
      </c>
      <c r="T11" s="9" t="s">
        <v>74</v>
      </c>
      <c r="U11" s="9" t="s">
        <v>39</v>
      </c>
      <c r="V11">
        <v>128922</v>
      </c>
      <c r="W11" s="1">
        <v>45845</v>
      </c>
      <c r="X11" s="9" t="s">
        <v>69</v>
      </c>
      <c r="Y11">
        <v>147321</v>
      </c>
      <c r="Z11" s="1">
        <v>45838</v>
      </c>
      <c r="AA11" s="1">
        <v>45839</v>
      </c>
      <c r="AB11" s="1">
        <v>45842</v>
      </c>
      <c r="AC11" s="1">
        <v>45842</v>
      </c>
      <c r="AD11" s="1">
        <v>45842</v>
      </c>
      <c r="AE11" s="1">
        <v>45842</v>
      </c>
      <c r="AF11" s="1">
        <v>45842</v>
      </c>
      <c r="AG11" s="1"/>
      <c r="AH11" s="1"/>
      <c r="AI11" s="1"/>
      <c r="AJ11" s="1"/>
      <c r="AK11" s="1"/>
      <c r="AL11" s="1"/>
      <c r="AM11" s="9" t="s">
        <v>619</v>
      </c>
      <c r="AN11" s="2">
        <f>+Pedidos_Pistachos[[#This Row],[CantidadPedida]]</f>
        <v>70</v>
      </c>
      <c r="AO11" s="2">
        <f>+Pedidos_Pistachos[[#This Row],[Cajas]]*2</f>
        <v>140</v>
      </c>
    </row>
    <row r="12" spans="1:41" x14ac:dyDescent="0.25">
      <c r="A12">
        <v>76212</v>
      </c>
      <c r="B12">
        <v>1</v>
      </c>
      <c r="C12" s="9" t="s">
        <v>38</v>
      </c>
      <c r="D12" s="9" t="s">
        <v>64</v>
      </c>
      <c r="E12" s="9" t="s">
        <v>61</v>
      </c>
      <c r="F12" s="9" t="s">
        <v>62</v>
      </c>
      <c r="G12" s="9" t="s">
        <v>46</v>
      </c>
      <c r="H12" s="9" t="s">
        <v>47</v>
      </c>
      <c r="I12" s="6">
        <v>70</v>
      </c>
      <c r="J12" s="8">
        <v>17.2</v>
      </c>
      <c r="K12" s="6">
        <v>70</v>
      </c>
      <c r="L12" s="6">
        <v>70</v>
      </c>
      <c r="M12" s="6">
        <v>700</v>
      </c>
      <c r="N12" s="9" t="s">
        <v>42</v>
      </c>
      <c r="O12" s="9" t="s">
        <v>48</v>
      </c>
      <c r="P12" s="9" t="s">
        <v>41</v>
      </c>
      <c r="Q12" s="9" t="s">
        <v>65</v>
      </c>
      <c r="R12" s="9" t="s">
        <v>66</v>
      </c>
      <c r="S12" s="9" t="s">
        <v>67</v>
      </c>
      <c r="T12" s="9" t="s">
        <v>68</v>
      </c>
      <c r="U12" s="9" t="s">
        <v>39</v>
      </c>
      <c r="V12">
        <v>128878</v>
      </c>
      <c r="W12" s="1">
        <v>45845</v>
      </c>
      <c r="X12" s="9" t="s">
        <v>69</v>
      </c>
      <c r="Y12">
        <v>147284</v>
      </c>
      <c r="Z12" s="1">
        <v>45838</v>
      </c>
      <c r="AA12" s="1">
        <v>45839</v>
      </c>
      <c r="AB12" s="1">
        <v>45842</v>
      </c>
      <c r="AC12" s="1">
        <v>45842</v>
      </c>
      <c r="AD12" s="1">
        <v>45842</v>
      </c>
      <c r="AE12" s="1">
        <v>45842</v>
      </c>
      <c r="AF12" s="1">
        <v>45842</v>
      </c>
      <c r="AG12" s="1"/>
      <c r="AH12" s="1"/>
      <c r="AI12" s="1"/>
      <c r="AJ12" s="1"/>
      <c r="AK12" s="1"/>
      <c r="AL12" s="1"/>
      <c r="AM12" s="9" t="s">
        <v>619</v>
      </c>
      <c r="AN12" s="2">
        <f>+Pedidos_Pistachos[[#This Row],[CantidadPedida]]</f>
        <v>70</v>
      </c>
      <c r="AO12" s="2">
        <f>+Pedidos_Pistachos[[#This Row],[Cajas]]*2</f>
        <v>140</v>
      </c>
    </row>
    <row r="13" spans="1:41" x14ac:dyDescent="0.25">
      <c r="A13">
        <v>76207</v>
      </c>
      <c r="B13">
        <v>2</v>
      </c>
      <c r="C13" s="9" t="s">
        <v>40</v>
      </c>
      <c r="D13" s="9" t="s">
        <v>54</v>
      </c>
      <c r="E13" s="9" t="s">
        <v>61</v>
      </c>
      <c r="F13" s="9" t="s">
        <v>62</v>
      </c>
      <c r="G13" s="9" t="s">
        <v>46</v>
      </c>
      <c r="H13" s="9" t="s">
        <v>47</v>
      </c>
      <c r="I13" s="6">
        <v>650</v>
      </c>
      <c r="J13" s="8">
        <v>12.1</v>
      </c>
      <c r="K13" s="6">
        <v>650</v>
      </c>
      <c r="L13" s="6">
        <v>650</v>
      </c>
      <c r="M13" s="6">
        <v>6500</v>
      </c>
      <c r="N13" s="9" t="s">
        <v>42</v>
      </c>
      <c r="O13" s="9" t="s">
        <v>48</v>
      </c>
      <c r="P13" s="9" t="s">
        <v>41</v>
      </c>
      <c r="Q13" s="9" t="s">
        <v>57</v>
      </c>
      <c r="R13" s="9" t="s">
        <v>63</v>
      </c>
      <c r="S13" s="9" t="s">
        <v>59</v>
      </c>
      <c r="T13" s="9" t="s">
        <v>60</v>
      </c>
      <c r="U13" s="9" t="s">
        <v>39</v>
      </c>
      <c r="V13">
        <v>128855</v>
      </c>
      <c r="W13" s="1">
        <v>45846</v>
      </c>
      <c r="X13" s="9" t="s">
        <v>53</v>
      </c>
      <c r="Y13">
        <v>147252</v>
      </c>
      <c r="Z13" s="1">
        <v>45838</v>
      </c>
      <c r="AA13" s="1">
        <v>45839</v>
      </c>
      <c r="AB13" s="1">
        <v>45842</v>
      </c>
      <c r="AC13" s="1">
        <v>45842</v>
      </c>
      <c r="AD13" s="1">
        <v>45842</v>
      </c>
      <c r="AE13" s="1">
        <v>45842</v>
      </c>
      <c r="AF13" s="1">
        <v>45842</v>
      </c>
      <c r="AG13" s="1"/>
      <c r="AH13" s="1"/>
      <c r="AI13" s="1"/>
      <c r="AJ13" s="1"/>
      <c r="AK13" s="1"/>
      <c r="AL13" s="1"/>
      <c r="AM13" s="9" t="s">
        <v>619</v>
      </c>
      <c r="AN13" s="2">
        <f>+Pedidos_Pistachos[[#This Row],[CantidadPedida]]</f>
        <v>650</v>
      </c>
      <c r="AO13" s="2">
        <f>+Pedidos_Pistachos[[#This Row],[Cajas]]*2</f>
        <v>1300</v>
      </c>
    </row>
    <row r="14" spans="1:41" x14ac:dyDescent="0.25">
      <c r="A14">
        <v>76207</v>
      </c>
      <c r="B14">
        <v>1</v>
      </c>
      <c r="C14" s="9" t="s">
        <v>40</v>
      </c>
      <c r="D14" s="9" t="s">
        <v>54</v>
      </c>
      <c r="E14" s="9" t="s">
        <v>55</v>
      </c>
      <c r="F14" s="9" t="s">
        <v>56</v>
      </c>
      <c r="G14" s="9" t="s">
        <v>46</v>
      </c>
      <c r="H14" s="9" t="s">
        <v>47</v>
      </c>
      <c r="I14" s="6">
        <v>50</v>
      </c>
      <c r="J14" s="8">
        <v>21.9</v>
      </c>
      <c r="K14" s="6">
        <v>50</v>
      </c>
      <c r="L14" s="6">
        <v>50</v>
      </c>
      <c r="M14" s="6">
        <v>500</v>
      </c>
      <c r="N14" s="9" t="s">
        <v>42</v>
      </c>
      <c r="O14" s="9" t="s">
        <v>48</v>
      </c>
      <c r="P14" s="9" t="s">
        <v>41</v>
      </c>
      <c r="Q14" s="9" t="s">
        <v>57</v>
      </c>
      <c r="R14" s="9" t="s">
        <v>58</v>
      </c>
      <c r="S14" s="9" t="s">
        <v>59</v>
      </c>
      <c r="T14" s="9" t="s">
        <v>60</v>
      </c>
      <c r="U14" s="9" t="s">
        <v>39</v>
      </c>
      <c r="V14">
        <v>128856</v>
      </c>
      <c r="W14" s="1">
        <v>45845</v>
      </c>
      <c r="X14" s="9" t="s">
        <v>53</v>
      </c>
      <c r="Y14">
        <v>147250</v>
      </c>
      <c r="Z14" s="1">
        <v>45838</v>
      </c>
      <c r="AA14" s="1">
        <v>45839</v>
      </c>
      <c r="AB14" s="1">
        <v>45842</v>
      </c>
      <c r="AC14" s="1">
        <v>45842</v>
      </c>
      <c r="AD14" s="1">
        <v>45842</v>
      </c>
      <c r="AE14" s="1">
        <v>45842</v>
      </c>
      <c r="AF14" s="1">
        <v>45842</v>
      </c>
      <c r="AG14" s="1"/>
      <c r="AH14" s="1"/>
      <c r="AI14" s="1"/>
      <c r="AJ14" s="1"/>
      <c r="AK14" s="1"/>
      <c r="AL14" s="1"/>
      <c r="AM14" s="9" t="s">
        <v>619</v>
      </c>
      <c r="AN14" s="2">
        <f>+Pedidos_Pistachos[[#This Row],[CantidadPedida]]</f>
        <v>50</v>
      </c>
      <c r="AO14" s="2">
        <f>+Pedidos_Pistachos[[#This Row],[Cajas]]*2</f>
        <v>100</v>
      </c>
    </row>
    <row r="15" spans="1:41" x14ac:dyDescent="0.25">
      <c r="A15">
        <v>76193</v>
      </c>
      <c r="B15">
        <v>1</v>
      </c>
      <c r="C15" s="9" t="s">
        <v>40</v>
      </c>
      <c r="D15" s="9" t="s">
        <v>43</v>
      </c>
      <c r="E15" s="9" t="s">
        <v>44</v>
      </c>
      <c r="F15" s="9" t="s">
        <v>45</v>
      </c>
      <c r="G15" s="9" t="s">
        <v>46</v>
      </c>
      <c r="H15" s="9" t="s">
        <v>47</v>
      </c>
      <c r="I15" s="6">
        <v>210</v>
      </c>
      <c r="J15" s="8">
        <v>31.3</v>
      </c>
      <c r="K15" s="6">
        <v>210</v>
      </c>
      <c r="L15" s="6">
        <v>210</v>
      </c>
      <c r="M15" s="6">
        <v>2100</v>
      </c>
      <c r="N15" s="9" t="s">
        <v>42</v>
      </c>
      <c r="O15" s="9" t="s">
        <v>48</v>
      </c>
      <c r="P15" s="9" t="s">
        <v>41</v>
      </c>
      <c r="Q15" s="9" t="s">
        <v>49</v>
      </c>
      <c r="R15" s="9" t="s">
        <v>50</v>
      </c>
      <c r="S15" s="9" t="s">
        <v>51</v>
      </c>
      <c r="T15" s="9" t="s">
        <v>52</v>
      </c>
      <c r="U15" s="9" t="s">
        <v>39</v>
      </c>
      <c r="V15">
        <v>128852</v>
      </c>
      <c r="W15" s="1">
        <v>45845</v>
      </c>
      <c r="X15" s="9" t="s">
        <v>53</v>
      </c>
      <c r="Y15">
        <v>147176</v>
      </c>
      <c r="Z15" s="1">
        <v>45838</v>
      </c>
      <c r="AA15" s="1">
        <v>45839</v>
      </c>
      <c r="AB15" s="1">
        <v>45842</v>
      </c>
      <c r="AC15" s="1">
        <v>45842</v>
      </c>
      <c r="AD15" s="1">
        <v>45842</v>
      </c>
      <c r="AE15" s="1">
        <v>45842</v>
      </c>
      <c r="AF15" s="1">
        <v>45842</v>
      </c>
      <c r="AG15" s="1"/>
      <c r="AH15" s="1"/>
      <c r="AI15" s="1"/>
      <c r="AJ15" s="1"/>
      <c r="AK15" s="1"/>
      <c r="AL15" s="1"/>
      <c r="AM15" s="9" t="s">
        <v>619</v>
      </c>
      <c r="AN15" s="2">
        <f>+Pedidos_Pistachos[[#This Row],[CantidadPedida]]</f>
        <v>210</v>
      </c>
      <c r="AO15" s="2">
        <f>+Pedidos_Pistachos[[#This Row],[Cajas]]*2</f>
        <v>420</v>
      </c>
    </row>
    <row r="16" spans="1:41" x14ac:dyDescent="0.25">
      <c r="A16">
        <v>76401</v>
      </c>
      <c r="B16">
        <v>1</v>
      </c>
      <c r="C16" s="9" t="s">
        <v>40</v>
      </c>
      <c r="D16" s="9" t="s">
        <v>116</v>
      </c>
      <c r="E16" s="9" t="s">
        <v>61</v>
      </c>
      <c r="F16" s="9" t="s">
        <v>62</v>
      </c>
      <c r="G16" s="9" t="s">
        <v>46</v>
      </c>
      <c r="H16" s="9" t="s">
        <v>47</v>
      </c>
      <c r="I16" s="6">
        <v>70</v>
      </c>
      <c r="J16" s="8">
        <v>17.75</v>
      </c>
      <c r="K16" s="6">
        <v>70</v>
      </c>
      <c r="L16" s="6">
        <v>70</v>
      </c>
      <c r="M16" s="6">
        <v>700</v>
      </c>
      <c r="N16" s="9" t="s">
        <v>42</v>
      </c>
      <c r="O16" s="9" t="s">
        <v>48</v>
      </c>
      <c r="P16" s="9" t="s">
        <v>41</v>
      </c>
      <c r="Q16" s="9" t="s">
        <v>117</v>
      </c>
      <c r="R16" s="9" t="s">
        <v>118</v>
      </c>
      <c r="S16" s="9" t="s">
        <v>119</v>
      </c>
      <c r="T16" s="9" t="s">
        <v>120</v>
      </c>
      <c r="U16" s="9" t="s">
        <v>39</v>
      </c>
      <c r="V16">
        <v>129153</v>
      </c>
      <c r="W16" s="1">
        <v>45845</v>
      </c>
      <c r="X16" s="9" t="s">
        <v>53</v>
      </c>
      <c r="Y16">
        <v>148403</v>
      </c>
      <c r="Z16" s="1">
        <v>45842</v>
      </c>
      <c r="AA16" s="1">
        <v>45842</v>
      </c>
      <c r="AB16" s="1">
        <v>45845</v>
      </c>
      <c r="AC16" s="1">
        <v>45845</v>
      </c>
      <c r="AD16" s="1">
        <v>45845</v>
      </c>
      <c r="AE16" s="1">
        <v>45845</v>
      </c>
      <c r="AF16" s="1">
        <v>45845</v>
      </c>
      <c r="AG16" s="1"/>
      <c r="AH16" s="1"/>
      <c r="AI16" s="1"/>
      <c r="AJ16" s="1"/>
      <c r="AK16" s="1"/>
      <c r="AL16" s="1"/>
      <c r="AM16" s="9" t="s">
        <v>619</v>
      </c>
      <c r="AN16" s="2">
        <f>+Pedidos_Pistachos[[#This Row],[CantidadPedida]]</f>
        <v>70</v>
      </c>
      <c r="AO16" s="2">
        <f>+Pedidos_Pistachos[[#This Row],[Cajas]]*2</f>
        <v>140</v>
      </c>
    </row>
    <row r="17" spans="1:41" x14ac:dyDescent="0.25">
      <c r="A17">
        <v>76402</v>
      </c>
      <c r="B17">
        <v>1</v>
      </c>
      <c r="C17" s="9" t="s">
        <v>40</v>
      </c>
      <c r="D17" s="9" t="s">
        <v>121</v>
      </c>
      <c r="E17" s="9" t="s">
        <v>61</v>
      </c>
      <c r="F17" s="9" t="s">
        <v>62</v>
      </c>
      <c r="G17" s="9" t="s">
        <v>46</v>
      </c>
      <c r="H17" s="9" t="s">
        <v>47</v>
      </c>
      <c r="I17" s="6">
        <v>70</v>
      </c>
      <c r="J17" s="8">
        <v>17.75</v>
      </c>
      <c r="K17" s="6">
        <v>70</v>
      </c>
      <c r="L17" s="6">
        <v>70</v>
      </c>
      <c r="M17" s="6">
        <v>700</v>
      </c>
      <c r="N17" s="9" t="s">
        <v>42</v>
      </c>
      <c r="O17" s="9" t="s">
        <v>48</v>
      </c>
      <c r="P17" s="9" t="s">
        <v>41</v>
      </c>
      <c r="Q17" s="9" t="s">
        <v>122</v>
      </c>
      <c r="R17" s="9" t="s">
        <v>123</v>
      </c>
      <c r="S17" s="9" t="s">
        <v>124</v>
      </c>
      <c r="T17" s="9" t="s">
        <v>125</v>
      </c>
      <c r="U17" s="9" t="s">
        <v>39</v>
      </c>
      <c r="V17">
        <v>129470</v>
      </c>
      <c r="W17" s="1">
        <v>45846</v>
      </c>
      <c r="X17" s="9" t="s">
        <v>53</v>
      </c>
      <c r="Y17">
        <v>148404</v>
      </c>
      <c r="Z17" s="1">
        <v>45842</v>
      </c>
      <c r="AA17" s="1">
        <v>45842</v>
      </c>
      <c r="AB17" s="1">
        <v>45845</v>
      </c>
      <c r="AC17" s="1">
        <v>45846</v>
      </c>
      <c r="AD17" s="1">
        <v>45846</v>
      </c>
      <c r="AE17" s="1">
        <v>45846</v>
      </c>
      <c r="AF17" s="1">
        <v>45846</v>
      </c>
      <c r="AG17" s="1"/>
      <c r="AH17" s="1"/>
      <c r="AI17" s="1"/>
      <c r="AJ17" s="1"/>
      <c r="AK17" s="1"/>
      <c r="AL17" s="1"/>
      <c r="AM17" s="9" t="s">
        <v>619</v>
      </c>
      <c r="AN17" s="2">
        <f>+Pedidos_Pistachos[[#This Row],[CantidadPedida]]</f>
        <v>70</v>
      </c>
      <c r="AO17" s="2">
        <f>+Pedidos_Pistachos[[#This Row],[Cajas]]*2</f>
        <v>140</v>
      </c>
    </row>
    <row r="18" spans="1:41" x14ac:dyDescent="0.25">
      <c r="A18">
        <v>76741</v>
      </c>
      <c r="B18">
        <v>1</v>
      </c>
      <c r="C18" s="9" t="s">
        <v>40</v>
      </c>
      <c r="D18" s="9" t="s">
        <v>162</v>
      </c>
      <c r="E18" s="9" t="s">
        <v>55</v>
      </c>
      <c r="F18" s="9" t="s">
        <v>56</v>
      </c>
      <c r="G18" s="9" t="s">
        <v>46</v>
      </c>
      <c r="H18" s="9" t="s">
        <v>47</v>
      </c>
      <c r="I18" s="6">
        <v>70</v>
      </c>
      <c r="J18" s="8">
        <v>31.3</v>
      </c>
      <c r="K18" s="6">
        <v>70</v>
      </c>
      <c r="L18" s="6">
        <v>70</v>
      </c>
      <c r="M18" s="6">
        <v>700</v>
      </c>
      <c r="N18" s="9" t="s">
        <v>42</v>
      </c>
      <c r="O18" s="9" t="s">
        <v>48</v>
      </c>
      <c r="P18" s="9" t="s">
        <v>41</v>
      </c>
      <c r="Q18" s="9" t="s">
        <v>163</v>
      </c>
      <c r="R18" s="9" t="s">
        <v>164</v>
      </c>
      <c r="S18" s="9" t="s">
        <v>165</v>
      </c>
      <c r="T18" s="9" t="s">
        <v>166</v>
      </c>
      <c r="U18" s="9" t="s">
        <v>39</v>
      </c>
      <c r="V18">
        <v>130010</v>
      </c>
      <c r="W18" s="1">
        <v>45852</v>
      </c>
      <c r="X18" s="9" t="s">
        <v>53</v>
      </c>
      <c r="Y18">
        <v>149852</v>
      </c>
      <c r="Z18" s="1">
        <v>45852</v>
      </c>
      <c r="AA18" s="1">
        <v>45852</v>
      </c>
      <c r="AB18" s="1">
        <v>45852</v>
      </c>
      <c r="AC18" s="1">
        <v>45852</v>
      </c>
      <c r="AD18" s="1">
        <v>45852</v>
      </c>
      <c r="AE18" s="1">
        <v>45852</v>
      </c>
      <c r="AF18" s="1">
        <v>45852</v>
      </c>
      <c r="AG18" s="1"/>
      <c r="AH18" s="1"/>
      <c r="AI18" s="1"/>
      <c r="AJ18" s="1"/>
      <c r="AK18" s="1"/>
      <c r="AL18" s="1"/>
      <c r="AM18" s="9" t="s">
        <v>619</v>
      </c>
      <c r="AN18" s="2">
        <f>+Pedidos_Pistachos[[#This Row],[CantidadPedida]]</f>
        <v>70</v>
      </c>
      <c r="AO18" s="2">
        <f>+Pedidos_Pistachos[[#This Row],[Cajas]]*2</f>
        <v>140</v>
      </c>
    </row>
    <row r="19" spans="1:41" x14ac:dyDescent="0.25">
      <c r="A19">
        <v>76736</v>
      </c>
      <c r="B19">
        <v>1</v>
      </c>
      <c r="C19" s="9" t="s">
        <v>40</v>
      </c>
      <c r="D19" s="9" t="s">
        <v>157</v>
      </c>
      <c r="E19" s="9" t="s">
        <v>61</v>
      </c>
      <c r="F19" s="9" t="s">
        <v>62</v>
      </c>
      <c r="G19" s="9" t="s">
        <v>46</v>
      </c>
      <c r="H19" s="9" t="s">
        <v>47</v>
      </c>
      <c r="I19" s="6">
        <v>70</v>
      </c>
      <c r="J19" s="8">
        <v>17.75</v>
      </c>
      <c r="K19" s="6">
        <v>70</v>
      </c>
      <c r="L19" s="6">
        <v>70</v>
      </c>
      <c r="M19" s="6">
        <v>700</v>
      </c>
      <c r="N19" s="9" t="s">
        <v>42</v>
      </c>
      <c r="O19" s="9" t="s">
        <v>48</v>
      </c>
      <c r="P19" s="9" t="s">
        <v>41</v>
      </c>
      <c r="Q19" s="9" t="s">
        <v>158</v>
      </c>
      <c r="R19" s="9" t="s">
        <v>159</v>
      </c>
      <c r="S19" s="9" t="s">
        <v>160</v>
      </c>
      <c r="T19" s="9" t="s">
        <v>161</v>
      </c>
      <c r="U19" s="9" t="s">
        <v>39</v>
      </c>
      <c r="V19">
        <v>130007</v>
      </c>
      <c r="W19" s="1">
        <v>45852</v>
      </c>
      <c r="X19" s="9" t="s">
        <v>53</v>
      </c>
      <c r="Y19">
        <v>149835</v>
      </c>
      <c r="Z19" s="1">
        <v>45852</v>
      </c>
      <c r="AA19" s="1">
        <v>45852</v>
      </c>
      <c r="AB19" s="1">
        <v>45852</v>
      </c>
      <c r="AC19" s="1">
        <v>45852</v>
      </c>
      <c r="AD19" s="1">
        <v>45852</v>
      </c>
      <c r="AE19" s="1">
        <v>45852</v>
      </c>
      <c r="AF19" s="1">
        <v>45852</v>
      </c>
      <c r="AG19" s="1"/>
      <c r="AH19" s="1"/>
      <c r="AI19" s="1"/>
      <c r="AJ19" s="1"/>
      <c r="AK19" s="1"/>
      <c r="AL19" s="1"/>
      <c r="AM19" s="9" t="s">
        <v>619</v>
      </c>
      <c r="AN19" s="2">
        <f>+Pedidos_Pistachos[[#This Row],[CantidadPedida]]</f>
        <v>70</v>
      </c>
      <c r="AO19" s="2">
        <f>+Pedidos_Pistachos[[#This Row],[Cajas]]*2</f>
        <v>140</v>
      </c>
    </row>
    <row r="20" spans="1:41" x14ac:dyDescent="0.25">
      <c r="A20">
        <v>76733</v>
      </c>
      <c r="B20">
        <v>1</v>
      </c>
      <c r="C20" s="9" t="s">
        <v>40</v>
      </c>
      <c r="D20" s="9" t="s">
        <v>96</v>
      </c>
      <c r="E20" s="9" t="s">
        <v>55</v>
      </c>
      <c r="F20" s="9" t="s">
        <v>56</v>
      </c>
      <c r="G20" s="9" t="s">
        <v>46</v>
      </c>
      <c r="H20" s="9" t="s">
        <v>47</v>
      </c>
      <c r="I20" s="6">
        <v>140</v>
      </c>
      <c r="J20" s="8">
        <v>26.3</v>
      </c>
      <c r="K20" s="6">
        <v>140</v>
      </c>
      <c r="L20" s="6">
        <v>140</v>
      </c>
      <c r="M20" s="6">
        <v>1400</v>
      </c>
      <c r="N20" s="9" t="s">
        <v>42</v>
      </c>
      <c r="O20" s="9" t="s">
        <v>48</v>
      </c>
      <c r="P20" s="9" t="s">
        <v>41</v>
      </c>
      <c r="Q20" s="9" t="s">
        <v>153</v>
      </c>
      <c r="R20" s="9" t="s">
        <v>154</v>
      </c>
      <c r="S20" s="9" t="s">
        <v>155</v>
      </c>
      <c r="T20" s="9" t="s">
        <v>156</v>
      </c>
      <c r="U20" s="9" t="s">
        <v>39</v>
      </c>
      <c r="V20">
        <v>129985</v>
      </c>
      <c r="W20" s="1">
        <v>45852</v>
      </c>
      <c r="X20" s="9" t="s">
        <v>69</v>
      </c>
      <c r="Y20">
        <v>149828</v>
      </c>
      <c r="Z20" s="1">
        <v>45852</v>
      </c>
      <c r="AA20" s="1">
        <v>45852</v>
      </c>
      <c r="AB20" s="1">
        <v>45852</v>
      </c>
      <c r="AC20" s="1">
        <v>45852</v>
      </c>
      <c r="AD20" s="1">
        <v>45852</v>
      </c>
      <c r="AE20" s="1">
        <v>45852</v>
      </c>
      <c r="AF20" s="1">
        <v>45852</v>
      </c>
      <c r="AG20" s="1"/>
      <c r="AH20" s="1"/>
      <c r="AI20" s="1"/>
      <c r="AJ20" s="1"/>
      <c r="AK20" s="1"/>
      <c r="AL20" s="1"/>
      <c r="AM20" s="9" t="s">
        <v>619</v>
      </c>
      <c r="AN20" s="2">
        <f>+Pedidos_Pistachos[[#This Row],[CantidadPedida]]</f>
        <v>140</v>
      </c>
      <c r="AO20" s="2">
        <f>+Pedidos_Pistachos[[#This Row],[Cajas]]*2</f>
        <v>280</v>
      </c>
    </row>
    <row r="21" spans="1:41" x14ac:dyDescent="0.25">
      <c r="A21">
        <v>76715</v>
      </c>
      <c r="B21">
        <v>1</v>
      </c>
      <c r="C21" s="9" t="s">
        <v>40</v>
      </c>
      <c r="D21" s="9" t="s">
        <v>132</v>
      </c>
      <c r="E21" s="9" t="s">
        <v>55</v>
      </c>
      <c r="F21" s="9" t="s">
        <v>56</v>
      </c>
      <c r="G21" s="9" t="s">
        <v>46</v>
      </c>
      <c r="H21" s="9" t="s">
        <v>47</v>
      </c>
      <c r="I21" s="6">
        <v>140</v>
      </c>
      <c r="J21" s="8">
        <v>26.3</v>
      </c>
      <c r="K21" s="6">
        <v>140</v>
      </c>
      <c r="L21" s="6">
        <v>140</v>
      </c>
      <c r="M21" s="6">
        <v>1400</v>
      </c>
      <c r="N21" s="9" t="s">
        <v>42</v>
      </c>
      <c r="O21" s="9" t="s">
        <v>48</v>
      </c>
      <c r="P21" s="9" t="s">
        <v>41</v>
      </c>
      <c r="Q21" s="9" t="s">
        <v>149</v>
      </c>
      <c r="R21" s="9" t="s">
        <v>150</v>
      </c>
      <c r="S21" s="9" t="s">
        <v>151</v>
      </c>
      <c r="T21" s="9" t="s">
        <v>152</v>
      </c>
      <c r="U21" s="9" t="s">
        <v>39</v>
      </c>
      <c r="V21">
        <v>129975</v>
      </c>
      <c r="W21" s="1">
        <v>45852</v>
      </c>
      <c r="X21" s="9" t="s">
        <v>53</v>
      </c>
      <c r="Y21">
        <v>149758</v>
      </c>
      <c r="Z21" s="1">
        <v>45852</v>
      </c>
      <c r="AA21" s="1">
        <v>45852</v>
      </c>
      <c r="AB21" s="1">
        <v>45852</v>
      </c>
      <c r="AC21" s="1">
        <v>45852</v>
      </c>
      <c r="AD21" s="1">
        <v>45852</v>
      </c>
      <c r="AE21" s="1">
        <v>45852</v>
      </c>
      <c r="AF21" s="1">
        <v>45852</v>
      </c>
      <c r="AG21" s="1"/>
      <c r="AH21" s="1"/>
      <c r="AI21" s="1"/>
      <c r="AJ21" s="1"/>
      <c r="AK21" s="1"/>
      <c r="AL21" s="1"/>
      <c r="AM21" s="9" t="s">
        <v>619</v>
      </c>
      <c r="AN21" s="2">
        <f>+Pedidos_Pistachos[[#This Row],[CantidadPedida]]</f>
        <v>140</v>
      </c>
      <c r="AO21" s="2">
        <f>+Pedidos_Pistachos[[#This Row],[Cajas]]*2</f>
        <v>280</v>
      </c>
    </row>
    <row r="22" spans="1:41" x14ac:dyDescent="0.25">
      <c r="A22">
        <v>76713</v>
      </c>
      <c r="B22">
        <v>1</v>
      </c>
      <c r="C22" s="9" t="s">
        <v>38</v>
      </c>
      <c r="D22" s="9" t="s">
        <v>111</v>
      </c>
      <c r="E22" s="9" t="s">
        <v>55</v>
      </c>
      <c r="F22" s="9" t="s">
        <v>56</v>
      </c>
      <c r="G22" s="9" t="s">
        <v>46</v>
      </c>
      <c r="H22" s="9" t="s">
        <v>47</v>
      </c>
      <c r="I22" s="6">
        <v>70</v>
      </c>
      <c r="J22" s="8">
        <v>30.35</v>
      </c>
      <c r="K22" s="6">
        <v>70</v>
      </c>
      <c r="L22" s="6">
        <v>70</v>
      </c>
      <c r="M22" s="6">
        <v>700</v>
      </c>
      <c r="N22" s="9" t="s">
        <v>42</v>
      </c>
      <c r="O22" s="9" t="s">
        <v>48</v>
      </c>
      <c r="P22" s="9" t="s">
        <v>41</v>
      </c>
      <c r="Q22" s="9" t="s">
        <v>145</v>
      </c>
      <c r="R22" s="9" t="s">
        <v>146</v>
      </c>
      <c r="S22" s="9" t="s">
        <v>147</v>
      </c>
      <c r="T22" s="9" t="s">
        <v>148</v>
      </c>
      <c r="U22" s="9" t="s">
        <v>39</v>
      </c>
      <c r="V22">
        <v>129974</v>
      </c>
      <c r="W22" s="1">
        <v>45863</v>
      </c>
      <c r="X22" s="9" t="s">
        <v>53</v>
      </c>
      <c r="Y22">
        <v>149756</v>
      </c>
      <c r="Z22" s="1">
        <v>45852</v>
      </c>
      <c r="AA22" s="1">
        <v>45852</v>
      </c>
      <c r="AB22" s="1">
        <v>45852</v>
      </c>
      <c r="AC22" s="1">
        <v>45852</v>
      </c>
      <c r="AD22" s="1">
        <v>45852</v>
      </c>
      <c r="AE22" s="1">
        <v>45852</v>
      </c>
      <c r="AF22" s="1">
        <v>45852</v>
      </c>
      <c r="AG22" s="1"/>
      <c r="AH22" s="1"/>
      <c r="AI22" s="1"/>
      <c r="AJ22" s="1"/>
      <c r="AK22" s="1"/>
      <c r="AL22" s="1"/>
      <c r="AM22" s="9" t="s">
        <v>619</v>
      </c>
      <c r="AN22" s="2">
        <f>+Pedidos_Pistachos[[#This Row],[CantidadPedida]]</f>
        <v>70</v>
      </c>
      <c r="AO22" s="2">
        <f>+Pedidos_Pistachos[[#This Row],[Cajas]]*2</f>
        <v>140</v>
      </c>
    </row>
    <row r="23" spans="1:41" x14ac:dyDescent="0.25">
      <c r="A23">
        <v>76705</v>
      </c>
      <c r="B23">
        <v>1</v>
      </c>
      <c r="C23" s="9" t="s">
        <v>40</v>
      </c>
      <c r="D23" s="9" t="s">
        <v>143</v>
      </c>
      <c r="E23" s="9" t="s">
        <v>55</v>
      </c>
      <c r="F23" s="9" t="s">
        <v>56</v>
      </c>
      <c r="G23" s="9" t="s">
        <v>46</v>
      </c>
      <c r="H23" s="9" t="s">
        <v>47</v>
      </c>
      <c r="I23" s="6">
        <v>140</v>
      </c>
      <c r="J23" s="8">
        <v>26.3</v>
      </c>
      <c r="K23" s="6">
        <v>140</v>
      </c>
      <c r="L23" s="6">
        <v>140</v>
      </c>
      <c r="M23" s="6">
        <v>1400</v>
      </c>
      <c r="N23" s="9" t="s">
        <v>42</v>
      </c>
      <c r="O23" s="9" t="s">
        <v>48</v>
      </c>
      <c r="P23" s="9" t="s">
        <v>41</v>
      </c>
      <c r="Q23" s="9" t="s">
        <v>139</v>
      </c>
      <c r="R23" s="9" t="s">
        <v>144</v>
      </c>
      <c r="S23" s="9" t="s">
        <v>141</v>
      </c>
      <c r="T23" s="9" t="s">
        <v>142</v>
      </c>
      <c r="U23" s="9" t="s">
        <v>39</v>
      </c>
      <c r="V23">
        <v>129954</v>
      </c>
      <c r="W23" s="1">
        <v>45852</v>
      </c>
      <c r="X23" s="9" t="s">
        <v>69</v>
      </c>
      <c r="Y23">
        <v>149712</v>
      </c>
      <c r="Z23" s="1">
        <v>45852</v>
      </c>
      <c r="AA23" s="1">
        <v>45852</v>
      </c>
      <c r="AB23" s="1">
        <v>45852</v>
      </c>
      <c r="AC23" s="1">
        <v>45852</v>
      </c>
      <c r="AD23" s="1">
        <v>45852</v>
      </c>
      <c r="AE23" s="1">
        <v>45852</v>
      </c>
      <c r="AF23" s="1">
        <v>45852</v>
      </c>
      <c r="AG23" s="1"/>
      <c r="AH23" s="1"/>
      <c r="AI23" s="1"/>
      <c r="AJ23" s="1"/>
      <c r="AK23" s="1"/>
      <c r="AL23" s="1"/>
      <c r="AM23" s="9" t="s">
        <v>619</v>
      </c>
      <c r="AN23" s="2">
        <f>+Pedidos_Pistachos[[#This Row],[CantidadPedida]]</f>
        <v>140</v>
      </c>
      <c r="AO23" s="2">
        <f>+Pedidos_Pistachos[[#This Row],[Cajas]]*2</f>
        <v>280</v>
      </c>
    </row>
    <row r="24" spans="1:41" x14ac:dyDescent="0.25">
      <c r="A24">
        <v>76701</v>
      </c>
      <c r="B24">
        <v>1</v>
      </c>
      <c r="C24" s="9" t="s">
        <v>40</v>
      </c>
      <c r="D24" s="9" t="s">
        <v>138</v>
      </c>
      <c r="E24" s="9" t="s">
        <v>61</v>
      </c>
      <c r="F24" s="9" t="s">
        <v>62</v>
      </c>
      <c r="G24" s="9" t="s">
        <v>46</v>
      </c>
      <c r="H24" s="9" t="s">
        <v>47</v>
      </c>
      <c r="I24" s="6">
        <v>70</v>
      </c>
      <c r="J24" s="8">
        <v>17.75</v>
      </c>
      <c r="K24" s="6">
        <v>70</v>
      </c>
      <c r="L24" s="6">
        <v>70</v>
      </c>
      <c r="M24" s="6">
        <v>700</v>
      </c>
      <c r="N24" s="9" t="s">
        <v>42</v>
      </c>
      <c r="O24" s="9" t="s">
        <v>48</v>
      </c>
      <c r="P24" s="9" t="s">
        <v>41</v>
      </c>
      <c r="Q24" s="9" t="s">
        <v>139</v>
      </c>
      <c r="R24" s="9" t="s">
        <v>140</v>
      </c>
      <c r="S24" s="9" t="s">
        <v>141</v>
      </c>
      <c r="T24" s="9" t="s">
        <v>142</v>
      </c>
      <c r="U24" s="9" t="s">
        <v>39</v>
      </c>
      <c r="V24">
        <v>129943</v>
      </c>
      <c r="W24" s="1">
        <v>45852</v>
      </c>
      <c r="X24" s="9" t="s">
        <v>53</v>
      </c>
      <c r="Y24">
        <v>149683</v>
      </c>
      <c r="Z24" s="1">
        <v>45852</v>
      </c>
      <c r="AA24" s="1">
        <v>45852</v>
      </c>
      <c r="AB24" s="1">
        <v>45852</v>
      </c>
      <c r="AC24" s="1">
        <v>45852</v>
      </c>
      <c r="AD24" s="1">
        <v>45852</v>
      </c>
      <c r="AE24" s="1">
        <v>45852</v>
      </c>
      <c r="AF24" s="1">
        <v>45852</v>
      </c>
      <c r="AG24" s="1"/>
      <c r="AH24" s="1"/>
      <c r="AI24" s="1"/>
      <c r="AJ24" s="1"/>
      <c r="AK24" s="1"/>
      <c r="AL24" s="1"/>
      <c r="AM24" s="9" t="s">
        <v>619</v>
      </c>
      <c r="AN24" s="2">
        <f>+Pedidos_Pistachos[[#This Row],[CantidadPedida]]</f>
        <v>70</v>
      </c>
      <c r="AO24" s="2">
        <f>+Pedidos_Pistachos[[#This Row],[Cajas]]*2</f>
        <v>140</v>
      </c>
    </row>
    <row r="25" spans="1:41" x14ac:dyDescent="0.25">
      <c r="A25">
        <v>76785</v>
      </c>
      <c r="B25">
        <v>1</v>
      </c>
      <c r="C25" s="9" t="s">
        <v>40</v>
      </c>
      <c r="D25" s="9" t="s">
        <v>194</v>
      </c>
      <c r="E25" s="9" t="s">
        <v>55</v>
      </c>
      <c r="F25" s="9" t="s">
        <v>56</v>
      </c>
      <c r="G25" s="9" t="s">
        <v>46</v>
      </c>
      <c r="H25" s="9" t="s">
        <v>47</v>
      </c>
      <c r="I25" s="6">
        <v>70</v>
      </c>
      <c r="J25" s="8">
        <v>29.7</v>
      </c>
      <c r="K25" s="6">
        <v>70</v>
      </c>
      <c r="L25" s="6">
        <v>70</v>
      </c>
      <c r="M25" s="6">
        <v>700</v>
      </c>
      <c r="N25" s="9" t="s">
        <v>42</v>
      </c>
      <c r="O25" s="9" t="s">
        <v>48</v>
      </c>
      <c r="P25" s="9" t="s">
        <v>41</v>
      </c>
      <c r="Q25" s="9" t="s">
        <v>195</v>
      </c>
      <c r="R25" s="9" t="s">
        <v>196</v>
      </c>
      <c r="S25" s="9" t="s">
        <v>197</v>
      </c>
      <c r="T25" s="9" t="s">
        <v>198</v>
      </c>
      <c r="U25" s="9" t="s">
        <v>39</v>
      </c>
      <c r="V25">
        <v>130191</v>
      </c>
      <c r="W25" s="1">
        <v>45853</v>
      </c>
      <c r="X25" s="9" t="s">
        <v>69</v>
      </c>
      <c r="Y25">
        <v>150094</v>
      </c>
      <c r="Z25" s="1">
        <v>45853</v>
      </c>
      <c r="AA25" s="1">
        <v>45853</v>
      </c>
      <c r="AB25" s="1">
        <v>45853</v>
      </c>
      <c r="AC25" s="1">
        <v>45853</v>
      </c>
      <c r="AD25" s="1">
        <v>45853</v>
      </c>
      <c r="AE25" s="1">
        <v>45853</v>
      </c>
      <c r="AF25" s="1">
        <v>45853</v>
      </c>
      <c r="AG25" s="1"/>
      <c r="AH25" s="1"/>
      <c r="AI25" s="1"/>
      <c r="AJ25" s="1"/>
      <c r="AK25" s="1"/>
      <c r="AL25" s="1"/>
      <c r="AM25" s="9" t="s">
        <v>619</v>
      </c>
      <c r="AN25" s="2">
        <f>+Pedidos_Pistachos[[#This Row],[CantidadPedida]]</f>
        <v>70</v>
      </c>
      <c r="AO25" s="2">
        <f>+Pedidos_Pistachos[[#This Row],[Cajas]]*2</f>
        <v>140</v>
      </c>
    </row>
    <row r="26" spans="1:41" x14ac:dyDescent="0.25">
      <c r="A26">
        <v>76756</v>
      </c>
      <c r="B26">
        <v>1</v>
      </c>
      <c r="C26" s="9" t="s">
        <v>40</v>
      </c>
      <c r="D26" s="9" t="s">
        <v>189</v>
      </c>
      <c r="E26" s="9" t="s">
        <v>55</v>
      </c>
      <c r="F26" s="9" t="s">
        <v>56</v>
      </c>
      <c r="G26" s="9" t="s">
        <v>46</v>
      </c>
      <c r="H26" s="9" t="s">
        <v>47</v>
      </c>
      <c r="I26" s="6">
        <v>50</v>
      </c>
      <c r="J26" s="8">
        <v>31.3</v>
      </c>
      <c r="K26" s="6">
        <v>50</v>
      </c>
      <c r="L26" s="6">
        <v>50</v>
      </c>
      <c r="M26" s="6">
        <v>500</v>
      </c>
      <c r="N26" s="9" t="s">
        <v>42</v>
      </c>
      <c r="O26" s="9" t="s">
        <v>48</v>
      </c>
      <c r="P26" s="9" t="s">
        <v>41</v>
      </c>
      <c r="Q26" s="9" t="s">
        <v>190</v>
      </c>
      <c r="R26" s="9" t="s">
        <v>191</v>
      </c>
      <c r="S26" s="9" t="s">
        <v>192</v>
      </c>
      <c r="T26" s="9" t="s">
        <v>193</v>
      </c>
      <c r="U26" s="9" t="s">
        <v>39</v>
      </c>
      <c r="V26">
        <v>130043</v>
      </c>
      <c r="W26" s="1">
        <v>45853</v>
      </c>
      <c r="X26" s="9" t="s">
        <v>53</v>
      </c>
      <c r="Y26">
        <v>149882</v>
      </c>
      <c r="Z26" s="1">
        <v>45853</v>
      </c>
      <c r="AA26" s="1">
        <v>45853</v>
      </c>
      <c r="AB26" s="1">
        <v>45853</v>
      </c>
      <c r="AC26" s="1">
        <v>45853</v>
      </c>
      <c r="AD26" s="1">
        <v>45853</v>
      </c>
      <c r="AE26" s="1">
        <v>45853</v>
      </c>
      <c r="AF26" s="1">
        <v>45853</v>
      </c>
      <c r="AG26" s="1"/>
      <c r="AH26" s="1"/>
      <c r="AI26" s="1"/>
      <c r="AJ26" s="1"/>
      <c r="AK26" s="1"/>
      <c r="AL26" s="1"/>
      <c r="AM26" s="9" t="s">
        <v>619</v>
      </c>
      <c r="AN26" s="2">
        <f>+Pedidos_Pistachos[[#This Row],[CantidadPedida]]</f>
        <v>50</v>
      </c>
      <c r="AO26" s="2">
        <f>+Pedidos_Pistachos[[#This Row],[Cajas]]*2</f>
        <v>100</v>
      </c>
    </row>
    <row r="27" spans="1:41" x14ac:dyDescent="0.25">
      <c r="A27">
        <v>76746</v>
      </c>
      <c r="B27">
        <v>1</v>
      </c>
      <c r="C27" s="9" t="s">
        <v>38</v>
      </c>
      <c r="D27" s="9" t="s">
        <v>184</v>
      </c>
      <c r="E27" s="9" t="s">
        <v>55</v>
      </c>
      <c r="F27" s="9" t="s">
        <v>56</v>
      </c>
      <c r="G27" s="9" t="s">
        <v>46</v>
      </c>
      <c r="H27" s="9" t="s">
        <v>47</v>
      </c>
      <c r="I27" s="6">
        <v>70</v>
      </c>
      <c r="J27" s="8">
        <v>30.35</v>
      </c>
      <c r="K27" s="6">
        <v>70</v>
      </c>
      <c r="L27" s="6">
        <v>70</v>
      </c>
      <c r="M27" s="6">
        <v>700</v>
      </c>
      <c r="N27" s="9" t="s">
        <v>42</v>
      </c>
      <c r="O27" s="9" t="s">
        <v>48</v>
      </c>
      <c r="P27" s="9" t="s">
        <v>41</v>
      </c>
      <c r="Q27" s="9" t="s">
        <v>185</v>
      </c>
      <c r="R27" s="9" t="s">
        <v>186</v>
      </c>
      <c r="S27" s="9" t="s">
        <v>187</v>
      </c>
      <c r="T27" s="9" t="s">
        <v>188</v>
      </c>
      <c r="U27" s="9" t="s">
        <v>39</v>
      </c>
      <c r="V27">
        <v>130015</v>
      </c>
      <c r="W27" s="1">
        <v>45863</v>
      </c>
      <c r="X27" s="9" t="s">
        <v>53</v>
      </c>
      <c r="Y27">
        <v>149864</v>
      </c>
      <c r="Z27" s="1">
        <v>45853</v>
      </c>
      <c r="AA27" s="1">
        <v>45853</v>
      </c>
      <c r="AB27" s="1">
        <v>45853</v>
      </c>
      <c r="AC27" s="1">
        <v>45853</v>
      </c>
      <c r="AD27" s="1">
        <v>45853</v>
      </c>
      <c r="AE27" s="1">
        <v>45853</v>
      </c>
      <c r="AF27" s="1">
        <v>45853</v>
      </c>
      <c r="AG27" s="1"/>
      <c r="AH27" s="1"/>
      <c r="AI27" s="1"/>
      <c r="AJ27" s="1"/>
      <c r="AK27" s="1"/>
      <c r="AL27" s="1"/>
      <c r="AM27" s="9" t="s">
        <v>619</v>
      </c>
      <c r="AN27" s="2">
        <f>+Pedidos_Pistachos[[#This Row],[CantidadPedida]]</f>
        <v>70</v>
      </c>
      <c r="AO27" s="2">
        <f>+Pedidos_Pistachos[[#This Row],[Cajas]]*2</f>
        <v>140</v>
      </c>
    </row>
    <row r="28" spans="1:41" x14ac:dyDescent="0.25">
      <c r="A28">
        <v>76745</v>
      </c>
      <c r="B28">
        <v>1</v>
      </c>
      <c r="C28" s="9" t="s">
        <v>38</v>
      </c>
      <c r="D28" s="9" t="s">
        <v>75</v>
      </c>
      <c r="E28" s="9" t="s">
        <v>55</v>
      </c>
      <c r="F28" s="9" t="s">
        <v>56</v>
      </c>
      <c r="G28" s="9" t="s">
        <v>46</v>
      </c>
      <c r="H28" s="9" t="s">
        <v>47</v>
      </c>
      <c r="I28" s="6">
        <v>70</v>
      </c>
      <c r="J28" s="8">
        <v>30.35</v>
      </c>
      <c r="K28" s="6">
        <v>70</v>
      </c>
      <c r="L28" s="6">
        <v>70</v>
      </c>
      <c r="M28" s="6">
        <v>700</v>
      </c>
      <c r="N28" s="9" t="s">
        <v>42</v>
      </c>
      <c r="O28" s="9" t="s">
        <v>48</v>
      </c>
      <c r="P28" s="9" t="s">
        <v>41</v>
      </c>
      <c r="Q28" s="9" t="s">
        <v>176</v>
      </c>
      <c r="R28" s="9" t="s">
        <v>177</v>
      </c>
      <c r="S28" s="9" t="s">
        <v>178</v>
      </c>
      <c r="T28" s="9" t="s">
        <v>179</v>
      </c>
      <c r="U28" s="9" t="s">
        <v>39</v>
      </c>
      <c r="V28">
        <v>130014</v>
      </c>
      <c r="W28" s="1">
        <v>45863</v>
      </c>
      <c r="X28" s="9" t="s">
        <v>53</v>
      </c>
      <c r="Y28">
        <v>149862</v>
      </c>
      <c r="Z28" s="1">
        <v>45853</v>
      </c>
      <c r="AA28" s="1">
        <v>45853</v>
      </c>
      <c r="AB28" s="1">
        <v>45853</v>
      </c>
      <c r="AC28" s="1">
        <v>45853</v>
      </c>
      <c r="AD28" s="1">
        <v>45853</v>
      </c>
      <c r="AE28" s="1">
        <v>45853</v>
      </c>
      <c r="AF28" s="1">
        <v>45853</v>
      </c>
      <c r="AG28" s="1"/>
      <c r="AH28" s="1"/>
      <c r="AI28" s="1"/>
      <c r="AJ28" s="1"/>
      <c r="AK28" s="1"/>
      <c r="AL28" s="1"/>
      <c r="AM28" s="9" t="s">
        <v>619</v>
      </c>
      <c r="AN28" s="2">
        <f>+Pedidos_Pistachos[[#This Row],[CantidadPedida]]</f>
        <v>70</v>
      </c>
      <c r="AO28" s="2">
        <f>+Pedidos_Pistachos[[#This Row],[Cajas]]*2</f>
        <v>140</v>
      </c>
    </row>
    <row r="29" spans="1:41" x14ac:dyDescent="0.25">
      <c r="A29">
        <v>76745</v>
      </c>
      <c r="B29">
        <v>2</v>
      </c>
      <c r="C29" s="9" t="s">
        <v>38</v>
      </c>
      <c r="D29" s="9" t="s">
        <v>75</v>
      </c>
      <c r="E29" s="9" t="s">
        <v>61</v>
      </c>
      <c r="F29" s="9" t="s">
        <v>62</v>
      </c>
      <c r="G29" s="9" t="s">
        <v>46</v>
      </c>
      <c r="H29" s="9" t="s">
        <v>47</v>
      </c>
      <c r="I29" s="6">
        <v>70</v>
      </c>
      <c r="J29" s="8">
        <v>17.2</v>
      </c>
      <c r="K29" s="6">
        <v>70</v>
      </c>
      <c r="L29" s="6">
        <v>70</v>
      </c>
      <c r="M29" s="6">
        <v>700</v>
      </c>
      <c r="N29" s="9" t="s">
        <v>42</v>
      </c>
      <c r="O29" s="9" t="s">
        <v>48</v>
      </c>
      <c r="P29" s="9" t="s">
        <v>41</v>
      </c>
      <c r="Q29" s="9" t="s">
        <v>180</v>
      </c>
      <c r="R29" s="9" t="s">
        <v>181</v>
      </c>
      <c r="S29" s="9" t="s">
        <v>182</v>
      </c>
      <c r="T29" s="9" t="s">
        <v>183</v>
      </c>
      <c r="U29" s="9" t="s">
        <v>39</v>
      </c>
      <c r="V29">
        <v>130013</v>
      </c>
      <c r="W29" s="1">
        <v>45863</v>
      </c>
      <c r="X29" s="9" t="s">
        <v>53</v>
      </c>
      <c r="Y29">
        <v>149863</v>
      </c>
      <c r="Z29" s="1">
        <v>45853</v>
      </c>
      <c r="AA29" s="1">
        <v>45853</v>
      </c>
      <c r="AB29" s="1">
        <v>45853</v>
      </c>
      <c r="AC29" s="1">
        <v>45853</v>
      </c>
      <c r="AD29" s="1">
        <v>45853</v>
      </c>
      <c r="AE29" s="1">
        <v>45853</v>
      </c>
      <c r="AF29" s="1">
        <v>45853</v>
      </c>
      <c r="AG29" s="1"/>
      <c r="AH29" s="1"/>
      <c r="AI29" s="1"/>
      <c r="AJ29" s="1"/>
      <c r="AK29" s="1"/>
      <c r="AL29" s="1"/>
      <c r="AM29" s="9" t="s">
        <v>619</v>
      </c>
      <c r="AN29" s="2">
        <f>+Pedidos_Pistachos[[#This Row],[CantidadPedida]]</f>
        <v>70</v>
      </c>
      <c r="AO29" s="2">
        <f>+Pedidos_Pistachos[[#This Row],[Cajas]]*2</f>
        <v>140</v>
      </c>
    </row>
    <row r="30" spans="1:41" x14ac:dyDescent="0.25">
      <c r="A30">
        <v>76744</v>
      </c>
      <c r="B30">
        <v>1</v>
      </c>
      <c r="C30" s="9" t="s">
        <v>38</v>
      </c>
      <c r="D30" s="9" t="s">
        <v>167</v>
      </c>
      <c r="E30" s="9" t="s">
        <v>55</v>
      </c>
      <c r="F30" s="9" t="s">
        <v>56</v>
      </c>
      <c r="G30" s="9" t="s">
        <v>46</v>
      </c>
      <c r="H30" s="9" t="s">
        <v>47</v>
      </c>
      <c r="I30" s="6">
        <v>210</v>
      </c>
      <c r="J30" s="8">
        <v>26.45</v>
      </c>
      <c r="K30" s="6">
        <v>210</v>
      </c>
      <c r="L30" s="6">
        <v>210</v>
      </c>
      <c r="M30" s="6">
        <v>2100</v>
      </c>
      <c r="N30" s="9" t="s">
        <v>42</v>
      </c>
      <c r="O30" s="9" t="s">
        <v>48</v>
      </c>
      <c r="P30" s="9" t="s">
        <v>41</v>
      </c>
      <c r="Q30" s="9" t="s">
        <v>172</v>
      </c>
      <c r="R30" s="9" t="s">
        <v>173</v>
      </c>
      <c r="S30" s="9" t="s">
        <v>174</v>
      </c>
      <c r="T30" s="9" t="s">
        <v>175</v>
      </c>
      <c r="U30" s="9" t="s">
        <v>39</v>
      </c>
      <c r="V30">
        <v>130012</v>
      </c>
      <c r="W30" s="1">
        <v>45863</v>
      </c>
      <c r="X30" s="9" t="s">
        <v>53</v>
      </c>
      <c r="Y30">
        <v>149861</v>
      </c>
      <c r="Z30" s="1">
        <v>45853</v>
      </c>
      <c r="AA30" s="1">
        <v>45853</v>
      </c>
      <c r="AB30" s="1">
        <v>45853</v>
      </c>
      <c r="AC30" s="1">
        <v>45853</v>
      </c>
      <c r="AD30" s="1">
        <v>45853</v>
      </c>
      <c r="AE30" s="1">
        <v>45853</v>
      </c>
      <c r="AF30" s="1">
        <v>45853</v>
      </c>
      <c r="AG30" s="1"/>
      <c r="AH30" s="1"/>
      <c r="AI30" s="1"/>
      <c r="AJ30" s="1"/>
      <c r="AK30" s="1"/>
      <c r="AL30" s="1"/>
      <c r="AM30" s="9" t="s">
        <v>619</v>
      </c>
      <c r="AN30" s="2">
        <f>+Pedidos_Pistachos[[#This Row],[CantidadPedida]]</f>
        <v>210</v>
      </c>
      <c r="AO30" s="2">
        <f>+Pedidos_Pistachos[[#This Row],[Cajas]]*2</f>
        <v>420</v>
      </c>
    </row>
    <row r="31" spans="1:41" x14ac:dyDescent="0.25">
      <c r="A31">
        <v>76743</v>
      </c>
      <c r="B31">
        <v>1</v>
      </c>
      <c r="C31" s="9" t="s">
        <v>40</v>
      </c>
      <c r="D31" s="9" t="s">
        <v>167</v>
      </c>
      <c r="E31" s="9" t="s">
        <v>55</v>
      </c>
      <c r="F31" s="9" t="s">
        <v>56</v>
      </c>
      <c r="G31" s="9" t="s">
        <v>46</v>
      </c>
      <c r="H31" s="9" t="s">
        <v>47</v>
      </c>
      <c r="I31" s="6">
        <v>210</v>
      </c>
      <c r="J31" s="8">
        <v>27.3</v>
      </c>
      <c r="K31" s="6">
        <v>210</v>
      </c>
      <c r="L31" s="6">
        <v>210</v>
      </c>
      <c r="M31" s="6">
        <v>2100</v>
      </c>
      <c r="N31" s="9" t="s">
        <v>42</v>
      </c>
      <c r="O31" s="9" t="s">
        <v>48</v>
      </c>
      <c r="P31" s="9" t="s">
        <v>41</v>
      </c>
      <c r="Q31" s="9" t="s">
        <v>168</v>
      </c>
      <c r="R31" s="9" t="s">
        <v>169</v>
      </c>
      <c r="S31" s="9" t="s">
        <v>170</v>
      </c>
      <c r="T31" s="9" t="s">
        <v>171</v>
      </c>
      <c r="U31" s="9" t="s">
        <v>39</v>
      </c>
      <c r="V31">
        <v>130011</v>
      </c>
      <c r="W31" s="1">
        <v>45853</v>
      </c>
      <c r="X31" s="9" t="s">
        <v>53</v>
      </c>
      <c r="Y31">
        <v>149860</v>
      </c>
      <c r="Z31" s="1">
        <v>45853</v>
      </c>
      <c r="AA31" s="1">
        <v>45853</v>
      </c>
      <c r="AB31" s="1">
        <v>45853</v>
      </c>
      <c r="AC31" s="1">
        <v>45853</v>
      </c>
      <c r="AD31" s="1">
        <v>45853</v>
      </c>
      <c r="AE31" s="1">
        <v>45853</v>
      </c>
      <c r="AF31" s="1">
        <v>45853</v>
      </c>
      <c r="AG31" s="1"/>
      <c r="AH31" s="1"/>
      <c r="AI31" s="1"/>
      <c r="AJ31" s="1"/>
      <c r="AK31" s="1"/>
      <c r="AL31" s="1"/>
      <c r="AM31" s="9" t="s">
        <v>619</v>
      </c>
      <c r="AN31" s="2">
        <f>+Pedidos_Pistachos[[#This Row],[CantidadPedida]]</f>
        <v>210</v>
      </c>
      <c r="AO31" s="2">
        <f>+Pedidos_Pistachos[[#This Row],[Cajas]]*2</f>
        <v>420</v>
      </c>
    </row>
    <row r="32" spans="1:41" x14ac:dyDescent="0.25">
      <c r="A32">
        <v>77181</v>
      </c>
      <c r="B32">
        <v>1</v>
      </c>
      <c r="C32" s="9" t="s">
        <v>40</v>
      </c>
      <c r="D32" s="9" t="s">
        <v>194</v>
      </c>
      <c r="E32" s="9" t="s">
        <v>55</v>
      </c>
      <c r="F32" s="9" t="s">
        <v>56</v>
      </c>
      <c r="G32" s="9" t="s">
        <v>46</v>
      </c>
      <c r="H32" s="9" t="s">
        <v>47</v>
      </c>
      <c r="I32" s="6">
        <v>70</v>
      </c>
      <c r="J32" s="8">
        <v>29.7</v>
      </c>
      <c r="K32" s="6">
        <v>70</v>
      </c>
      <c r="L32" s="6">
        <v>70</v>
      </c>
      <c r="M32" s="6">
        <v>700</v>
      </c>
      <c r="N32" s="9" t="s">
        <v>42</v>
      </c>
      <c r="O32" s="9" t="s">
        <v>48</v>
      </c>
      <c r="P32" s="9" t="s">
        <v>41</v>
      </c>
      <c r="Q32" s="9" t="s">
        <v>195</v>
      </c>
      <c r="R32" s="9" t="s">
        <v>213</v>
      </c>
      <c r="S32" s="9" t="s">
        <v>197</v>
      </c>
      <c r="T32" s="9" t="s">
        <v>198</v>
      </c>
      <c r="U32" s="9" t="s">
        <v>39</v>
      </c>
      <c r="V32">
        <v>132040</v>
      </c>
      <c r="W32" s="1">
        <v>45863</v>
      </c>
      <c r="X32" s="9" t="s">
        <v>69</v>
      </c>
      <c r="Y32">
        <v>152186</v>
      </c>
      <c r="Z32" s="1">
        <v>45863</v>
      </c>
      <c r="AA32" s="1">
        <v>45863</v>
      </c>
      <c r="AB32" s="1">
        <v>45863</v>
      </c>
      <c r="AC32" s="1">
        <v>45863</v>
      </c>
      <c r="AD32" s="1">
        <v>45863</v>
      </c>
      <c r="AE32" s="1">
        <v>45863</v>
      </c>
      <c r="AF32" s="1">
        <v>45863</v>
      </c>
      <c r="AG32" s="1"/>
      <c r="AH32" s="1"/>
      <c r="AI32" s="1"/>
      <c r="AJ32" s="1"/>
      <c r="AK32" s="1"/>
      <c r="AL32" s="1"/>
      <c r="AM32" s="9" t="s">
        <v>619</v>
      </c>
      <c r="AN32" s="2">
        <f>+Pedidos_Pistachos[[#This Row],[CantidadPedida]]</f>
        <v>70</v>
      </c>
      <c r="AO32" s="2">
        <f>+Pedidos_Pistachos[[#This Row],[Cajas]]*2</f>
        <v>140</v>
      </c>
    </row>
    <row r="33" spans="1:41" x14ac:dyDescent="0.25">
      <c r="A33">
        <v>76804</v>
      </c>
      <c r="B33">
        <v>1</v>
      </c>
      <c r="C33" s="9" t="s">
        <v>40</v>
      </c>
      <c r="D33" s="9" t="s">
        <v>106</v>
      </c>
      <c r="E33" s="9" t="s">
        <v>61</v>
      </c>
      <c r="F33" s="9" t="s">
        <v>62</v>
      </c>
      <c r="G33" s="9" t="s">
        <v>46</v>
      </c>
      <c r="H33" s="9" t="s">
        <v>47</v>
      </c>
      <c r="I33" s="6">
        <v>70</v>
      </c>
      <c r="J33" s="8">
        <v>17.75</v>
      </c>
      <c r="K33" s="6">
        <v>70</v>
      </c>
      <c r="L33" s="6">
        <v>70</v>
      </c>
      <c r="M33" s="6">
        <v>700</v>
      </c>
      <c r="N33" s="9" t="s">
        <v>42</v>
      </c>
      <c r="O33" s="9" t="s">
        <v>48</v>
      </c>
      <c r="P33" s="9" t="s">
        <v>41</v>
      </c>
      <c r="Q33" s="9" t="s">
        <v>209</v>
      </c>
      <c r="R33" s="9" t="s">
        <v>210</v>
      </c>
      <c r="S33" s="9" t="s">
        <v>211</v>
      </c>
      <c r="T33" s="9" t="s">
        <v>212</v>
      </c>
      <c r="U33" s="9" t="s">
        <v>39</v>
      </c>
      <c r="V33">
        <v>132023</v>
      </c>
      <c r="W33" s="1">
        <v>45863</v>
      </c>
      <c r="X33" s="9" t="s">
        <v>53</v>
      </c>
      <c r="Y33">
        <v>150213</v>
      </c>
      <c r="Z33" s="1">
        <v>45854</v>
      </c>
      <c r="AA33" s="1">
        <v>45854</v>
      </c>
      <c r="AB33" s="1">
        <v>45863</v>
      </c>
      <c r="AC33" s="1">
        <v>45863</v>
      </c>
      <c r="AD33" s="1">
        <v>45863</v>
      </c>
      <c r="AE33" s="1">
        <v>45863</v>
      </c>
      <c r="AF33" s="1">
        <v>45863</v>
      </c>
      <c r="AG33" s="1"/>
      <c r="AH33" s="1"/>
      <c r="AI33" s="1"/>
      <c r="AJ33" s="1"/>
      <c r="AK33" s="1"/>
      <c r="AL33" s="1"/>
      <c r="AM33" s="9" t="s">
        <v>619</v>
      </c>
      <c r="AN33" s="2">
        <f>+Pedidos_Pistachos[[#This Row],[CantidadPedida]]</f>
        <v>70</v>
      </c>
      <c r="AO33" s="2">
        <f>+Pedidos_Pistachos[[#This Row],[Cajas]]*2</f>
        <v>140</v>
      </c>
    </row>
    <row r="34" spans="1:41" x14ac:dyDescent="0.25">
      <c r="A34">
        <v>76803</v>
      </c>
      <c r="B34">
        <v>1</v>
      </c>
      <c r="C34" s="9" t="s">
        <v>40</v>
      </c>
      <c r="D34" s="9" t="s">
        <v>204</v>
      </c>
      <c r="E34" s="9" t="s">
        <v>61</v>
      </c>
      <c r="F34" s="9" t="s">
        <v>62</v>
      </c>
      <c r="G34" s="9" t="s">
        <v>46</v>
      </c>
      <c r="H34" s="9" t="s">
        <v>47</v>
      </c>
      <c r="I34" s="6">
        <v>70</v>
      </c>
      <c r="J34" s="8">
        <v>17.75</v>
      </c>
      <c r="K34" s="6">
        <v>70</v>
      </c>
      <c r="L34" s="6">
        <v>70</v>
      </c>
      <c r="M34" s="6">
        <v>700</v>
      </c>
      <c r="N34" s="9" t="s">
        <v>42</v>
      </c>
      <c r="O34" s="9" t="s">
        <v>48</v>
      </c>
      <c r="P34" s="9" t="s">
        <v>41</v>
      </c>
      <c r="Q34" s="9" t="s">
        <v>205</v>
      </c>
      <c r="R34" s="9" t="s">
        <v>206</v>
      </c>
      <c r="S34" s="9" t="s">
        <v>207</v>
      </c>
      <c r="T34" s="9" t="s">
        <v>208</v>
      </c>
      <c r="U34" s="9" t="s">
        <v>39</v>
      </c>
      <c r="V34">
        <v>132022</v>
      </c>
      <c r="W34" s="1">
        <v>45863</v>
      </c>
      <c r="X34" s="9" t="s">
        <v>53</v>
      </c>
      <c r="Y34">
        <v>150212</v>
      </c>
      <c r="Z34" s="1">
        <v>45854</v>
      </c>
      <c r="AA34" s="1">
        <v>45854</v>
      </c>
      <c r="AB34" s="1">
        <v>45863</v>
      </c>
      <c r="AC34" s="1">
        <v>45863</v>
      </c>
      <c r="AD34" s="1">
        <v>45863</v>
      </c>
      <c r="AE34" s="1">
        <v>45863</v>
      </c>
      <c r="AF34" s="1">
        <v>45863</v>
      </c>
      <c r="AG34" s="1"/>
      <c r="AH34" s="1"/>
      <c r="AI34" s="1"/>
      <c r="AJ34" s="1"/>
      <c r="AK34" s="1"/>
      <c r="AL34" s="1"/>
      <c r="AM34" s="9" t="s">
        <v>619</v>
      </c>
      <c r="AN34" s="2">
        <f>+Pedidos_Pistachos[[#This Row],[CantidadPedida]]</f>
        <v>70</v>
      </c>
      <c r="AO34" s="2">
        <f>+Pedidos_Pistachos[[#This Row],[Cajas]]*2</f>
        <v>140</v>
      </c>
    </row>
    <row r="35" spans="1:41" x14ac:dyDescent="0.25">
      <c r="A35">
        <v>76802</v>
      </c>
      <c r="B35">
        <v>1</v>
      </c>
      <c r="C35" s="9" t="s">
        <v>40</v>
      </c>
      <c r="D35" s="9" t="s">
        <v>199</v>
      </c>
      <c r="E35" s="9" t="s">
        <v>61</v>
      </c>
      <c r="F35" s="9" t="s">
        <v>62</v>
      </c>
      <c r="G35" s="9" t="s">
        <v>46</v>
      </c>
      <c r="H35" s="9" t="s">
        <v>47</v>
      </c>
      <c r="I35" s="6">
        <v>210</v>
      </c>
      <c r="J35" s="8">
        <v>17.75</v>
      </c>
      <c r="K35" s="6">
        <v>210</v>
      </c>
      <c r="L35" s="6">
        <v>210</v>
      </c>
      <c r="M35" s="6">
        <v>2100</v>
      </c>
      <c r="N35" s="9" t="s">
        <v>42</v>
      </c>
      <c r="O35" s="9" t="s">
        <v>48</v>
      </c>
      <c r="P35" s="9" t="s">
        <v>41</v>
      </c>
      <c r="Q35" s="9" t="s">
        <v>200</v>
      </c>
      <c r="R35" s="9" t="s">
        <v>201</v>
      </c>
      <c r="S35" s="9" t="s">
        <v>202</v>
      </c>
      <c r="T35" s="9" t="s">
        <v>203</v>
      </c>
      <c r="U35" s="9" t="s">
        <v>39</v>
      </c>
      <c r="V35">
        <v>131995</v>
      </c>
      <c r="W35" s="1">
        <v>45863</v>
      </c>
      <c r="X35" s="9" t="s">
        <v>53</v>
      </c>
      <c r="Y35">
        <v>150211</v>
      </c>
      <c r="Z35" s="1">
        <v>45854</v>
      </c>
      <c r="AA35" s="1">
        <v>45854</v>
      </c>
      <c r="AB35" s="1">
        <v>45863</v>
      </c>
      <c r="AC35" s="1">
        <v>45863</v>
      </c>
      <c r="AD35" s="1">
        <v>45863</v>
      </c>
      <c r="AE35" s="1">
        <v>45863</v>
      </c>
      <c r="AF35" s="1">
        <v>45863</v>
      </c>
      <c r="AG35" s="1"/>
      <c r="AH35" s="1"/>
      <c r="AI35" s="1"/>
      <c r="AJ35" s="1"/>
      <c r="AK35" s="1"/>
      <c r="AL35" s="1"/>
      <c r="AM35" s="9" t="s">
        <v>619</v>
      </c>
      <c r="AN35" s="2">
        <f>+Pedidos_Pistachos[[#This Row],[CantidadPedida]]</f>
        <v>210</v>
      </c>
      <c r="AO35" s="2">
        <f>+Pedidos_Pistachos[[#This Row],[Cajas]]*2</f>
        <v>420</v>
      </c>
    </row>
    <row r="36" spans="1:41" x14ac:dyDescent="0.25">
      <c r="A36">
        <v>77591</v>
      </c>
      <c r="B36">
        <v>1</v>
      </c>
      <c r="C36" s="9" t="s">
        <v>40</v>
      </c>
      <c r="D36" s="9" t="s">
        <v>282</v>
      </c>
      <c r="E36" s="9" t="s">
        <v>61</v>
      </c>
      <c r="F36" s="9" t="s">
        <v>62</v>
      </c>
      <c r="G36" s="9" t="s">
        <v>46</v>
      </c>
      <c r="H36" s="9" t="s">
        <v>47</v>
      </c>
      <c r="I36" s="6">
        <v>70</v>
      </c>
      <c r="J36" s="8">
        <v>17.75</v>
      </c>
      <c r="K36" s="6">
        <v>70</v>
      </c>
      <c r="L36" s="6">
        <v>70</v>
      </c>
      <c r="M36" s="6">
        <v>700</v>
      </c>
      <c r="N36" s="9" t="s">
        <v>42</v>
      </c>
      <c r="O36" s="9" t="s">
        <v>48</v>
      </c>
      <c r="P36" s="9" t="s">
        <v>41</v>
      </c>
      <c r="Q36" s="9" t="s">
        <v>283</v>
      </c>
      <c r="R36" s="9" t="s">
        <v>284</v>
      </c>
      <c r="S36" s="9" t="s">
        <v>285</v>
      </c>
      <c r="T36" s="9" t="s">
        <v>286</v>
      </c>
      <c r="U36" s="9" t="s">
        <v>39</v>
      </c>
      <c r="V36">
        <v>133937</v>
      </c>
      <c r="W36" s="1">
        <v>45876</v>
      </c>
      <c r="X36" s="9" t="s">
        <v>53</v>
      </c>
      <c r="Y36">
        <v>154406</v>
      </c>
      <c r="Z36" s="1">
        <v>45876</v>
      </c>
      <c r="AA36" s="1">
        <v>45876</v>
      </c>
      <c r="AB36" s="1">
        <v>45876</v>
      </c>
      <c r="AC36" s="1">
        <v>45876</v>
      </c>
      <c r="AD36" s="1">
        <v>45876</v>
      </c>
      <c r="AE36" s="1">
        <v>45876</v>
      </c>
      <c r="AF36" s="1">
        <v>45876</v>
      </c>
      <c r="AG36" s="1"/>
      <c r="AH36" s="1"/>
      <c r="AI36" s="1"/>
      <c r="AJ36" s="1"/>
      <c r="AK36" s="1"/>
      <c r="AL36" s="1"/>
      <c r="AM36" s="9" t="s">
        <v>619</v>
      </c>
      <c r="AN36" s="2">
        <f>+Pedidos_Pistachos[[#This Row],[CantidadPedida]]</f>
        <v>70</v>
      </c>
      <c r="AO36" s="2">
        <f>+Pedidos_Pistachos[[#This Row],[Cajas]]*2</f>
        <v>140</v>
      </c>
    </row>
    <row r="37" spans="1:41" x14ac:dyDescent="0.25">
      <c r="A37">
        <v>77590</v>
      </c>
      <c r="B37">
        <v>1</v>
      </c>
      <c r="C37" s="9" t="s">
        <v>38</v>
      </c>
      <c r="D37" s="9" t="s">
        <v>277</v>
      </c>
      <c r="E37" s="9" t="s">
        <v>61</v>
      </c>
      <c r="F37" s="9" t="s">
        <v>62</v>
      </c>
      <c r="G37" s="9" t="s">
        <v>46</v>
      </c>
      <c r="H37" s="9" t="s">
        <v>47</v>
      </c>
      <c r="I37" s="6">
        <v>70</v>
      </c>
      <c r="J37" s="8">
        <v>17.2</v>
      </c>
      <c r="K37" s="6">
        <v>70</v>
      </c>
      <c r="L37" s="6">
        <v>70</v>
      </c>
      <c r="M37" s="6">
        <v>700</v>
      </c>
      <c r="N37" s="9" t="s">
        <v>42</v>
      </c>
      <c r="O37" s="9" t="s">
        <v>48</v>
      </c>
      <c r="P37" s="9" t="s">
        <v>41</v>
      </c>
      <c r="Q37" s="9" t="s">
        <v>278</v>
      </c>
      <c r="R37" s="9" t="s">
        <v>279</v>
      </c>
      <c r="S37" s="9" t="s">
        <v>280</v>
      </c>
      <c r="T37" s="9" t="s">
        <v>281</v>
      </c>
      <c r="U37" s="9" t="s">
        <v>39</v>
      </c>
      <c r="V37">
        <v>133938</v>
      </c>
      <c r="W37" s="1">
        <v>45876</v>
      </c>
      <c r="X37" s="9" t="s">
        <v>53</v>
      </c>
      <c r="Y37">
        <v>154405</v>
      </c>
      <c r="Z37" s="1">
        <v>45876</v>
      </c>
      <c r="AA37" s="1">
        <v>45876</v>
      </c>
      <c r="AB37" s="1">
        <v>45876</v>
      </c>
      <c r="AC37" s="1">
        <v>45876</v>
      </c>
      <c r="AD37" s="1">
        <v>45876</v>
      </c>
      <c r="AE37" s="1">
        <v>45876</v>
      </c>
      <c r="AF37" s="1">
        <v>45876</v>
      </c>
      <c r="AG37" s="1"/>
      <c r="AH37" s="1"/>
      <c r="AI37" s="1"/>
      <c r="AJ37" s="1"/>
      <c r="AK37" s="1"/>
      <c r="AL37" s="1"/>
      <c r="AM37" s="9" t="s">
        <v>619</v>
      </c>
      <c r="AN37" s="2">
        <f>+Pedidos_Pistachos[[#This Row],[CantidadPedida]]</f>
        <v>70</v>
      </c>
      <c r="AO37" s="2">
        <f>+Pedidos_Pistachos[[#This Row],[Cajas]]*2</f>
        <v>140</v>
      </c>
    </row>
    <row r="38" spans="1:41" x14ac:dyDescent="0.25">
      <c r="A38">
        <v>77582</v>
      </c>
      <c r="B38">
        <v>1</v>
      </c>
      <c r="C38" s="9" t="s">
        <v>40</v>
      </c>
      <c r="D38" s="9" t="s">
        <v>272</v>
      </c>
      <c r="E38" s="9" t="s">
        <v>55</v>
      </c>
      <c r="F38" s="9" t="s">
        <v>56</v>
      </c>
      <c r="G38" s="9" t="s">
        <v>46</v>
      </c>
      <c r="H38" s="9" t="s">
        <v>47</v>
      </c>
      <c r="I38" s="6">
        <v>60</v>
      </c>
      <c r="J38" s="8">
        <v>36</v>
      </c>
      <c r="K38" s="6">
        <v>60</v>
      </c>
      <c r="L38" s="6">
        <v>60</v>
      </c>
      <c r="M38" s="6">
        <v>600</v>
      </c>
      <c r="N38" s="9" t="s">
        <v>42</v>
      </c>
      <c r="O38" s="9" t="s">
        <v>48</v>
      </c>
      <c r="P38" s="9" t="s">
        <v>41</v>
      </c>
      <c r="Q38" s="9" t="s">
        <v>273</v>
      </c>
      <c r="R38" s="9" t="s">
        <v>274</v>
      </c>
      <c r="S38" s="9" t="s">
        <v>275</v>
      </c>
      <c r="T38" s="9" t="s">
        <v>276</v>
      </c>
      <c r="U38" s="9" t="s">
        <v>39</v>
      </c>
      <c r="V38">
        <v>133896</v>
      </c>
      <c r="W38" s="1">
        <v>45876</v>
      </c>
      <c r="X38" s="9" t="s">
        <v>53</v>
      </c>
      <c r="Y38">
        <v>154374</v>
      </c>
      <c r="Z38" s="1">
        <v>45875</v>
      </c>
      <c r="AA38" s="1">
        <v>45875</v>
      </c>
      <c r="AB38" s="1">
        <v>45875</v>
      </c>
      <c r="AC38" s="1">
        <v>45875</v>
      </c>
      <c r="AD38" s="1">
        <v>45875</v>
      </c>
      <c r="AE38" s="1">
        <v>45876</v>
      </c>
      <c r="AF38" s="1">
        <v>45876</v>
      </c>
      <c r="AG38" s="1"/>
      <c r="AH38" s="1"/>
      <c r="AI38" s="1"/>
      <c r="AJ38" s="1"/>
      <c r="AK38" s="1"/>
      <c r="AL38" s="1"/>
      <c r="AM38" s="9" t="s">
        <v>619</v>
      </c>
      <c r="AN38" s="2">
        <f>+Pedidos_Pistachos[[#This Row],[CantidadPedida]]</f>
        <v>60</v>
      </c>
      <c r="AO38" s="2">
        <f>+Pedidos_Pistachos[[#This Row],[Cajas]]*2</f>
        <v>120</v>
      </c>
    </row>
    <row r="39" spans="1:41" x14ac:dyDescent="0.25">
      <c r="A39">
        <v>77581</v>
      </c>
      <c r="B39">
        <v>1</v>
      </c>
      <c r="C39" s="9" t="s">
        <v>40</v>
      </c>
      <c r="D39" s="9" t="s">
        <v>267</v>
      </c>
      <c r="E39" s="9" t="s">
        <v>55</v>
      </c>
      <c r="F39" s="9" t="s">
        <v>56</v>
      </c>
      <c r="G39" s="9" t="s">
        <v>46</v>
      </c>
      <c r="H39" s="9" t="s">
        <v>47</v>
      </c>
      <c r="I39" s="6">
        <v>70</v>
      </c>
      <c r="J39" s="8">
        <v>36</v>
      </c>
      <c r="K39" s="6">
        <v>70</v>
      </c>
      <c r="L39" s="6">
        <v>70</v>
      </c>
      <c r="M39" s="6">
        <v>700</v>
      </c>
      <c r="N39" s="9" t="s">
        <v>42</v>
      </c>
      <c r="O39" s="9" t="s">
        <v>48</v>
      </c>
      <c r="P39" s="9" t="s">
        <v>41</v>
      </c>
      <c r="Q39" s="9" t="s">
        <v>268</v>
      </c>
      <c r="R39" s="9" t="s">
        <v>269</v>
      </c>
      <c r="S39" s="9" t="s">
        <v>270</v>
      </c>
      <c r="T39" s="9" t="s">
        <v>271</v>
      </c>
      <c r="U39" s="9" t="s">
        <v>39</v>
      </c>
      <c r="V39">
        <v>133897</v>
      </c>
      <c r="W39" s="1">
        <v>45876</v>
      </c>
      <c r="X39" s="9" t="s">
        <v>53</v>
      </c>
      <c r="Y39">
        <v>154373</v>
      </c>
      <c r="Z39" s="1">
        <v>45875</v>
      </c>
      <c r="AA39" s="1">
        <v>45875</v>
      </c>
      <c r="AB39" s="1">
        <v>45875</v>
      </c>
      <c r="AC39" s="1">
        <v>45875</v>
      </c>
      <c r="AD39" s="1">
        <v>45875</v>
      </c>
      <c r="AE39" s="1">
        <v>45876</v>
      </c>
      <c r="AF39" s="1">
        <v>45876</v>
      </c>
      <c r="AG39" s="1"/>
      <c r="AH39" s="1"/>
      <c r="AI39" s="1"/>
      <c r="AJ39" s="1"/>
      <c r="AK39" s="1"/>
      <c r="AL39" s="1"/>
      <c r="AM39" s="9" t="s">
        <v>619</v>
      </c>
      <c r="AN39" s="2">
        <f>+Pedidos_Pistachos[[#This Row],[CantidadPedida]]</f>
        <v>70</v>
      </c>
      <c r="AO39" s="2">
        <f>+Pedidos_Pistachos[[#This Row],[Cajas]]*2</f>
        <v>140</v>
      </c>
    </row>
    <row r="40" spans="1:41" x14ac:dyDescent="0.25">
      <c r="A40">
        <v>77580</v>
      </c>
      <c r="B40">
        <v>1</v>
      </c>
      <c r="C40" s="9" t="s">
        <v>40</v>
      </c>
      <c r="D40" s="9" t="s">
        <v>262</v>
      </c>
      <c r="E40" s="9" t="s">
        <v>55</v>
      </c>
      <c r="F40" s="9" t="s">
        <v>56</v>
      </c>
      <c r="G40" s="9" t="s">
        <v>46</v>
      </c>
      <c r="H40" s="9" t="s">
        <v>47</v>
      </c>
      <c r="I40" s="6">
        <v>70</v>
      </c>
      <c r="J40" s="8">
        <v>37</v>
      </c>
      <c r="K40" s="6">
        <v>70</v>
      </c>
      <c r="L40" s="6">
        <v>70</v>
      </c>
      <c r="M40" s="6">
        <v>700</v>
      </c>
      <c r="N40" s="9" t="s">
        <v>42</v>
      </c>
      <c r="O40" s="9" t="s">
        <v>48</v>
      </c>
      <c r="P40" s="9" t="s">
        <v>41</v>
      </c>
      <c r="Q40" s="9" t="s">
        <v>263</v>
      </c>
      <c r="R40" s="9" t="s">
        <v>264</v>
      </c>
      <c r="S40" s="9" t="s">
        <v>265</v>
      </c>
      <c r="T40" s="9" t="s">
        <v>266</v>
      </c>
      <c r="U40" s="9" t="s">
        <v>39</v>
      </c>
      <c r="V40">
        <v>133899</v>
      </c>
      <c r="W40" s="1">
        <v>45876</v>
      </c>
      <c r="X40" s="9" t="s">
        <v>53</v>
      </c>
      <c r="Y40">
        <v>154372</v>
      </c>
      <c r="Z40" s="1">
        <v>45875</v>
      </c>
      <c r="AA40" s="1">
        <v>45875</v>
      </c>
      <c r="AB40" s="1">
        <v>45876</v>
      </c>
      <c r="AC40" s="1">
        <v>45876</v>
      </c>
      <c r="AD40" s="1">
        <v>45876</v>
      </c>
      <c r="AE40" s="1">
        <v>45876</v>
      </c>
      <c r="AF40" s="1">
        <v>45876</v>
      </c>
      <c r="AG40" s="1"/>
      <c r="AH40" s="1"/>
      <c r="AI40" s="1"/>
      <c r="AJ40" s="1"/>
      <c r="AK40" s="1"/>
      <c r="AL40" s="1"/>
      <c r="AM40" s="9" t="s">
        <v>619</v>
      </c>
      <c r="AN40" s="2">
        <f>+Pedidos_Pistachos[[#This Row],[CantidadPedida]]</f>
        <v>70</v>
      </c>
      <c r="AO40" s="2">
        <f>+Pedidos_Pistachos[[#This Row],[Cajas]]*2</f>
        <v>140</v>
      </c>
    </row>
    <row r="41" spans="1:41" x14ac:dyDescent="0.25">
      <c r="A41">
        <v>77579</v>
      </c>
      <c r="B41">
        <v>1</v>
      </c>
      <c r="C41" s="9" t="s">
        <v>40</v>
      </c>
      <c r="D41" s="9" t="s">
        <v>257</v>
      </c>
      <c r="E41" s="9" t="s">
        <v>55</v>
      </c>
      <c r="F41" s="9" t="s">
        <v>56</v>
      </c>
      <c r="G41" s="9" t="s">
        <v>46</v>
      </c>
      <c r="H41" s="9" t="s">
        <v>47</v>
      </c>
      <c r="I41" s="6">
        <v>70</v>
      </c>
      <c r="J41" s="8">
        <v>37</v>
      </c>
      <c r="K41" s="6">
        <v>70</v>
      </c>
      <c r="L41" s="6">
        <v>70</v>
      </c>
      <c r="M41" s="6">
        <v>700</v>
      </c>
      <c r="N41" s="9" t="s">
        <v>42</v>
      </c>
      <c r="O41" s="9" t="s">
        <v>48</v>
      </c>
      <c r="P41" s="9" t="s">
        <v>41</v>
      </c>
      <c r="Q41" s="9" t="s">
        <v>258</v>
      </c>
      <c r="R41" s="9" t="s">
        <v>259</v>
      </c>
      <c r="S41" s="9" t="s">
        <v>260</v>
      </c>
      <c r="T41" s="9" t="s">
        <v>261</v>
      </c>
      <c r="U41" s="9" t="s">
        <v>39</v>
      </c>
      <c r="V41">
        <v>133898</v>
      </c>
      <c r="W41" s="1">
        <v>45876</v>
      </c>
      <c r="X41" s="9" t="s">
        <v>53</v>
      </c>
      <c r="Y41">
        <v>154371</v>
      </c>
      <c r="Z41" s="1">
        <v>45875</v>
      </c>
      <c r="AA41" s="1">
        <v>45875</v>
      </c>
      <c r="AB41" s="1">
        <v>45876</v>
      </c>
      <c r="AC41" s="1">
        <v>45876</v>
      </c>
      <c r="AD41" s="1">
        <v>45876</v>
      </c>
      <c r="AE41" s="1">
        <v>45876</v>
      </c>
      <c r="AF41" s="1">
        <v>45876</v>
      </c>
      <c r="AG41" s="1"/>
      <c r="AH41" s="1"/>
      <c r="AI41" s="1"/>
      <c r="AJ41" s="1"/>
      <c r="AK41" s="1"/>
      <c r="AL41" s="1"/>
      <c r="AM41" s="9" t="s">
        <v>619</v>
      </c>
      <c r="AN41" s="2">
        <f>+Pedidos_Pistachos[[#This Row],[CantidadPedida]]</f>
        <v>70</v>
      </c>
      <c r="AO41" s="2">
        <f>+Pedidos_Pistachos[[#This Row],[Cajas]]*2</f>
        <v>140</v>
      </c>
    </row>
    <row r="42" spans="1:41" x14ac:dyDescent="0.25">
      <c r="A42">
        <v>77576</v>
      </c>
      <c r="B42">
        <v>1</v>
      </c>
      <c r="C42" s="9" t="s">
        <v>40</v>
      </c>
      <c r="D42" s="9" t="s">
        <v>252</v>
      </c>
      <c r="E42" s="9" t="s">
        <v>55</v>
      </c>
      <c r="F42" s="9" t="s">
        <v>56</v>
      </c>
      <c r="G42" s="9" t="s">
        <v>46</v>
      </c>
      <c r="H42" s="9" t="s">
        <v>47</v>
      </c>
      <c r="I42" s="6">
        <v>70</v>
      </c>
      <c r="J42" s="8">
        <v>37</v>
      </c>
      <c r="K42" s="6">
        <v>70</v>
      </c>
      <c r="L42" s="6">
        <v>70</v>
      </c>
      <c r="M42" s="6">
        <v>700</v>
      </c>
      <c r="N42" s="9" t="s">
        <v>42</v>
      </c>
      <c r="O42" s="9" t="s">
        <v>48</v>
      </c>
      <c r="P42" s="9" t="s">
        <v>41</v>
      </c>
      <c r="Q42" s="9" t="s">
        <v>253</v>
      </c>
      <c r="R42" s="9" t="s">
        <v>254</v>
      </c>
      <c r="S42" s="9" t="s">
        <v>255</v>
      </c>
      <c r="T42" s="9" t="s">
        <v>256</v>
      </c>
      <c r="U42" s="9" t="s">
        <v>39</v>
      </c>
      <c r="V42">
        <v>133900</v>
      </c>
      <c r="W42" s="1">
        <v>45876</v>
      </c>
      <c r="X42" s="9" t="s">
        <v>53</v>
      </c>
      <c r="Y42">
        <v>154336</v>
      </c>
      <c r="Z42" s="1">
        <v>45875</v>
      </c>
      <c r="AA42" s="1">
        <v>45875</v>
      </c>
      <c r="AB42" s="1">
        <v>45876</v>
      </c>
      <c r="AC42" s="1">
        <v>45876</v>
      </c>
      <c r="AD42" s="1">
        <v>45876</v>
      </c>
      <c r="AE42" s="1">
        <v>45876</v>
      </c>
      <c r="AF42" s="1">
        <v>45876</v>
      </c>
      <c r="AG42" s="1"/>
      <c r="AH42" s="1"/>
      <c r="AI42" s="1"/>
      <c r="AJ42" s="1"/>
      <c r="AK42" s="1"/>
      <c r="AL42" s="1"/>
      <c r="AM42" s="9" t="s">
        <v>619</v>
      </c>
      <c r="AN42" s="2">
        <f>+Pedidos_Pistachos[[#This Row],[CantidadPedida]]</f>
        <v>70</v>
      </c>
      <c r="AO42" s="2">
        <f>+Pedidos_Pistachos[[#This Row],[Cajas]]*2</f>
        <v>140</v>
      </c>
    </row>
    <row r="43" spans="1:41" x14ac:dyDescent="0.25">
      <c r="A43">
        <v>77574</v>
      </c>
      <c r="B43">
        <v>1</v>
      </c>
      <c r="C43" s="9" t="s">
        <v>40</v>
      </c>
      <c r="D43" s="9" t="s">
        <v>247</v>
      </c>
      <c r="E43" s="9" t="s">
        <v>55</v>
      </c>
      <c r="F43" s="9" t="s">
        <v>56</v>
      </c>
      <c r="G43" s="9" t="s">
        <v>46</v>
      </c>
      <c r="H43" s="9" t="s">
        <v>47</v>
      </c>
      <c r="I43" s="6">
        <v>140</v>
      </c>
      <c r="J43" s="8">
        <v>37</v>
      </c>
      <c r="K43" s="6">
        <v>140</v>
      </c>
      <c r="L43" s="6">
        <v>140</v>
      </c>
      <c r="M43" s="6">
        <v>1400</v>
      </c>
      <c r="N43" s="9" t="s">
        <v>42</v>
      </c>
      <c r="O43" s="9" t="s">
        <v>48</v>
      </c>
      <c r="P43" s="9" t="s">
        <v>41</v>
      </c>
      <c r="Q43" s="9" t="s">
        <v>248</v>
      </c>
      <c r="R43" s="9" t="s">
        <v>249</v>
      </c>
      <c r="S43" s="9" t="s">
        <v>250</v>
      </c>
      <c r="T43" s="9" t="s">
        <v>251</v>
      </c>
      <c r="U43" s="9" t="s">
        <v>39</v>
      </c>
      <c r="V43">
        <v>133901</v>
      </c>
      <c r="W43" s="1">
        <v>45876</v>
      </c>
      <c r="X43" s="9" t="s">
        <v>53</v>
      </c>
      <c r="Y43">
        <v>154332</v>
      </c>
      <c r="Z43" s="1">
        <v>45875</v>
      </c>
      <c r="AA43" s="1">
        <v>45875</v>
      </c>
      <c r="AB43" s="1">
        <v>45876</v>
      </c>
      <c r="AC43" s="1">
        <v>45876</v>
      </c>
      <c r="AD43" s="1">
        <v>45876</v>
      </c>
      <c r="AE43" s="1">
        <v>45876</v>
      </c>
      <c r="AF43" s="1">
        <v>45876</v>
      </c>
      <c r="AG43" s="1"/>
      <c r="AH43" s="1"/>
      <c r="AI43" s="1"/>
      <c r="AJ43" s="1"/>
      <c r="AK43" s="1"/>
      <c r="AL43" s="1"/>
      <c r="AM43" s="9" t="s">
        <v>619</v>
      </c>
      <c r="AN43" s="2">
        <f>+Pedidos_Pistachos[[#This Row],[CantidadPedida]]</f>
        <v>140</v>
      </c>
      <c r="AO43" s="2">
        <f>+Pedidos_Pistachos[[#This Row],[Cajas]]*2</f>
        <v>280</v>
      </c>
    </row>
    <row r="44" spans="1:41" x14ac:dyDescent="0.25">
      <c r="A44">
        <v>77571</v>
      </c>
      <c r="B44">
        <v>1</v>
      </c>
      <c r="C44" s="9" t="s">
        <v>38</v>
      </c>
      <c r="D44" s="9" t="s">
        <v>238</v>
      </c>
      <c r="E44" s="9" t="s">
        <v>55</v>
      </c>
      <c r="F44" s="9" t="s">
        <v>56</v>
      </c>
      <c r="G44" s="9" t="s">
        <v>46</v>
      </c>
      <c r="H44" s="9" t="s">
        <v>47</v>
      </c>
      <c r="I44" s="6">
        <v>210</v>
      </c>
      <c r="J44" s="8">
        <v>35.89</v>
      </c>
      <c r="K44" s="6">
        <v>210</v>
      </c>
      <c r="L44" s="6">
        <v>210</v>
      </c>
      <c r="M44" s="6">
        <v>2100</v>
      </c>
      <c r="N44" s="9" t="s">
        <v>42</v>
      </c>
      <c r="O44" s="9" t="s">
        <v>48</v>
      </c>
      <c r="P44" s="9" t="s">
        <v>41</v>
      </c>
      <c r="Q44" s="9" t="s">
        <v>243</v>
      </c>
      <c r="R44" s="9" t="s">
        <v>244</v>
      </c>
      <c r="S44" s="9" t="s">
        <v>245</v>
      </c>
      <c r="T44" s="9" t="s">
        <v>246</v>
      </c>
      <c r="U44" s="9" t="s">
        <v>39</v>
      </c>
      <c r="V44">
        <v>133902</v>
      </c>
      <c r="W44" s="1">
        <v>45876</v>
      </c>
      <c r="X44" s="9" t="s">
        <v>53</v>
      </c>
      <c r="Y44">
        <v>154313</v>
      </c>
      <c r="Z44" s="1">
        <v>45875</v>
      </c>
      <c r="AA44" s="1">
        <v>45875</v>
      </c>
      <c r="AB44" s="1">
        <v>45876</v>
      </c>
      <c r="AC44" s="1">
        <v>45876</v>
      </c>
      <c r="AD44" s="1">
        <v>45876</v>
      </c>
      <c r="AE44" s="1">
        <v>45876</v>
      </c>
      <c r="AF44" s="1">
        <v>45876</v>
      </c>
      <c r="AG44" s="1"/>
      <c r="AH44" s="1"/>
      <c r="AI44" s="1"/>
      <c r="AJ44" s="1"/>
      <c r="AK44" s="1"/>
      <c r="AL44" s="1"/>
      <c r="AM44" s="9" t="s">
        <v>619</v>
      </c>
      <c r="AN44" s="2">
        <f>+Pedidos_Pistachos[[#This Row],[CantidadPedida]]</f>
        <v>210</v>
      </c>
      <c r="AO44" s="2">
        <f>+Pedidos_Pistachos[[#This Row],[Cajas]]*2</f>
        <v>420</v>
      </c>
    </row>
    <row r="45" spans="1:41" x14ac:dyDescent="0.25">
      <c r="A45">
        <v>77570</v>
      </c>
      <c r="B45">
        <v>1</v>
      </c>
      <c r="C45" s="9" t="s">
        <v>40</v>
      </c>
      <c r="D45" s="9" t="s">
        <v>238</v>
      </c>
      <c r="E45" s="9" t="s">
        <v>55</v>
      </c>
      <c r="F45" s="9" t="s">
        <v>56</v>
      </c>
      <c r="G45" s="9" t="s">
        <v>46</v>
      </c>
      <c r="H45" s="9" t="s">
        <v>47</v>
      </c>
      <c r="I45" s="6">
        <v>140</v>
      </c>
      <c r="J45" s="8">
        <v>37</v>
      </c>
      <c r="K45" s="6">
        <v>140</v>
      </c>
      <c r="L45" s="6">
        <v>140</v>
      </c>
      <c r="M45" s="6">
        <v>1400</v>
      </c>
      <c r="N45" s="9" t="s">
        <v>42</v>
      </c>
      <c r="O45" s="9" t="s">
        <v>48</v>
      </c>
      <c r="P45" s="9" t="s">
        <v>41</v>
      </c>
      <c r="Q45" s="9" t="s">
        <v>239</v>
      </c>
      <c r="R45" s="9" t="s">
        <v>240</v>
      </c>
      <c r="S45" s="9" t="s">
        <v>241</v>
      </c>
      <c r="T45" s="9" t="s">
        <v>242</v>
      </c>
      <c r="U45" s="9" t="s">
        <v>39</v>
      </c>
      <c r="V45">
        <v>133903</v>
      </c>
      <c r="W45" s="1">
        <v>45876</v>
      </c>
      <c r="X45" s="9" t="s">
        <v>53</v>
      </c>
      <c r="Y45">
        <v>154312</v>
      </c>
      <c r="Z45" s="1">
        <v>45875</v>
      </c>
      <c r="AA45" s="1">
        <v>45875</v>
      </c>
      <c r="AB45" s="1">
        <v>45876</v>
      </c>
      <c r="AC45" s="1">
        <v>45876</v>
      </c>
      <c r="AD45" s="1">
        <v>45876</v>
      </c>
      <c r="AE45" s="1">
        <v>45876</v>
      </c>
      <c r="AF45" s="1">
        <v>45876</v>
      </c>
      <c r="AG45" s="1"/>
      <c r="AH45" s="1"/>
      <c r="AI45" s="1"/>
      <c r="AJ45" s="1"/>
      <c r="AK45" s="1"/>
      <c r="AL45" s="1"/>
      <c r="AM45" s="9" t="s">
        <v>619</v>
      </c>
      <c r="AN45" s="2">
        <f>+Pedidos_Pistachos[[#This Row],[CantidadPedida]]</f>
        <v>140</v>
      </c>
      <c r="AO45" s="2">
        <f>+Pedidos_Pistachos[[#This Row],[Cajas]]*2</f>
        <v>280</v>
      </c>
    </row>
    <row r="46" spans="1:41" x14ac:dyDescent="0.25">
      <c r="A46">
        <v>77569</v>
      </c>
      <c r="B46">
        <v>1</v>
      </c>
      <c r="C46" s="9" t="s">
        <v>40</v>
      </c>
      <c r="D46" s="9" t="s">
        <v>43</v>
      </c>
      <c r="E46" s="9" t="s">
        <v>55</v>
      </c>
      <c r="F46" s="9" t="s">
        <v>56</v>
      </c>
      <c r="G46" s="9" t="s">
        <v>46</v>
      </c>
      <c r="H46" s="9" t="s">
        <v>47</v>
      </c>
      <c r="I46" s="6">
        <v>420</v>
      </c>
      <c r="J46" s="8">
        <v>31.3</v>
      </c>
      <c r="K46" s="6">
        <v>420</v>
      </c>
      <c r="L46" s="6">
        <v>420</v>
      </c>
      <c r="M46" s="6">
        <v>4200</v>
      </c>
      <c r="N46" s="9" t="s">
        <v>42</v>
      </c>
      <c r="O46" s="9" t="s">
        <v>48</v>
      </c>
      <c r="P46" s="9" t="s">
        <v>41</v>
      </c>
      <c r="Q46" s="9" t="s">
        <v>234</v>
      </c>
      <c r="R46" s="9" t="s">
        <v>235</v>
      </c>
      <c r="S46" s="9" t="s">
        <v>236</v>
      </c>
      <c r="T46" s="9" t="s">
        <v>237</v>
      </c>
      <c r="U46" s="9" t="s">
        <v>39</v>
      </c>
      <c r="V46">
        <v>133904</v>
      </c>
      <c r="W46" s="1">
        <v>45876</v>
      </c>
      <c r="X46" s="9" t="s">
        <v>53</v>
      </c>
      <c r="Y46">
        <v>154311</v>
      </c>
      <c r="Z46" s="1">
        <v>45875</v>
      </c>
      <c r="AA46" s="1">
        <v>45875</v>
      </c>
      <c r="AB46" s="1">
        <v>45876</v>
      </c>
      <c r="AC46" s="1">
        <v>45876</v>
      </c>
      <c r="AD46" s="1">
        <v>45876</v>
      </c>
      <c r="AE46" s="1">
        <v>45876</v>
      </c>
      <c r="AF46" s="1">
        <v>45876</v>
      </c>
      <c r="AG46" s="1"/>
      <c r="AH46" s="1"/>
      <c r="AI46" s="1"/>
      <c r="AJ46" s="1"/>
      <c r="AK46" s="1"/>
      <c r="AL46" s="1"/>
      <c r="AM46" s="9" t="s">
        <v>619</v>
      </c>
      <c r="AN46" s="2">
        <f>+Pedidos_Pistachos[[#This Row],[CantidadPedida]]</f>
        <v>420</v>
      </c>
      <c r="AO46" s="2">
        <f>+Pedidos_Pistachos[[#This Row],[Cajas]]*2</f>
        <v>840</v>
      </c>
    </row>
    <row r="47" spans="1:41" x14ac:dyDescent="0.25">
      <c r="A47">
        <v>77568</v>
      </c>
      <c r="B47">
        <v>1</v>
      </c>
      <c r="C47" s="9" t="s">
        <v>38</v>
      </c>
      <c r="D47" s="9" t="s">
        <v>167</v>
      </c>
      <c r="E47" s="9" t="s">
        <v>55</v>
      </c>
      <c r="F47" s="9" t="s">
        <v>56</v>
      </c>
      <c r="G47" s="9" t="s">
        <v>46</v>
      </c>
      <c r="H47" s="9" t="s">
        <v>47</v>
      </c>
      <c r="I47" s="6">
        <v>210</v>
      </c>
      <c r="J47" s="8">
        <v>27.15</v>
      </c>
      <c r="K47" s="6">
        <v>210</v>
      </c>
      <c r="L47" s="6">
        <v>210</v>
      </c>
      <c r="M47" s="6">
        <v>2100</v>
      </c>
      <c r="N47" s="9" t="s">
        <v>42</v>
      </c>
      <c r="O47" s="9" t="s">
        <v>48</v>
      </c>
      <c r="P47" s="9" t="s">
        <v>41</v>
      </c>
      <c r="Q47" s="9" t="s">
        <v>230</v>
      </c>
      <c r="R47" s="9" t="s">
        <v>231</v>
      </c>
      <c r="S47" s="9" t="s">
        <v>232</v>
      </c>
      <c r="T47" s="9" t="s">
        <v>233</v>
      </c>
      <c r="U47" s="9" t="s">
        <v>39</v>
      </c>
      <c r="V47">
        <v>133905</v>
      </c>
      <c r="W47" s="1">
        <v>45881</v>
      </c>
      <c r="X47" s="9" t="s">
        <v>53</v>
      </c>
      <c r="Y47">
        <v>154310</v>
      </c>
      <c r="Z47" s="1">
        <v>45875</v>
      </c>
      <c r="AA47" s="1">
        <v>45875</v>
      </c>
      <c r="AB47" s="1">
        <v>45876</v>
      </c>
      <c r="AC47" s="1">
        <v>45876</v>
      </c>
      <c r="AD47" s="1">
        <v>45876</v>
      </c>
      <c r="AE47" s="1">
        <v>45876</v>
      </c>
      <c r="AF47" s="1">
        <v>45876</v>
      </c>
      <c r="AG47" s="1"/>
      <c r="AH47" s="1"/>
      <c r="AI47" s="1"/>
      <c r="AJ47" s="1"/>
      <c r="AK47" s="1"/>
      <c r="AL47" s="1"/>
      <c r="AM47" s="9" t="s">
        <v>619</v>
      </c>
      <c r="AN47" s="2">
        <f>+Pedidos_Pistachos[[#This Row],[CantidadPedida]]</f>
        <v>210</v>
      </c>
      <c r="AO47" s="2">
        <f>+Pedidos_Pistachos[[#This Row],[Cajas]]*2</f>
        <v>420</v>
      </c>
    </row>
    <row r="48" spans="1:41" x14ac:dyDescent="0.25">
      <c r="A48">
        <v>77567</v>
      </c>
      <c r="B48">
        <v>1</v>
      </c>
      <c r="C48" s="9" t="s">
        <v>40</v>
      </c>
      <c r="D48" s="9" t="s">
        <v>167</v>
      </c>
      <c r="E48" s="9" t="s">
        <v>55</v>
      </c>
      <c r="F48" s="9" t="s">
        <v>56</v>
      </c>
      <c r="G48" s="9" t="s">
        <v>46</v>
      </c>
      <c r="H48" s="9" t="s">
        <v>47</v>
      </c>
      <c r="I48" s="6">
        <v>210</v>
      </c>
      <c r="J48" s="8">
        <v>28</v>
      </c>
      <c r="K48" s="6">
        <v>210</v>
      </c>
      <c r="L48" s="6">
        <v>210</v>
      </c>
      <c r="M48" s="6">
        <v>2100</v>
      </c>
      <c r="N48" s="9" t="s">
        <v>42</v>
      </c>
      <c r="O48" s="9" t="s">
        <v>48</v>
      </c>
      <c r="P48" s="9" t="s">
        <v>41</v>
      </c>
      <c r="Q48" s="9" t="s">
        <v>226</v>
      </c>
      <c r="R48" s="9" t="s">
        <v>227</v>
      </c>
      <c r="S48" s="9" t="s">
        <v>228</v>
      </c>
      <c r="T48" s="9" t="s">
        <v>229</v>
      </c>
      <c r="U48" s="9" t="s">
        <v>39</v>
      </c>
      <c r="V48">
        <v>133906</v>
      </c>
      <c r="W48" s="1">
        <v>45876</v>
      </c>
      <c r="X48" s="9" t="s">
        <v>53</v>
      </c>
      <c r="Y48">
        <v>154309</v>
      </c>
      <c r="Z48" s="1">
        <v>45875</v>
      </c>
      <c r="AA48" s="1">
        <v>45875</v>
      </c>
      <c r="AB48" s="1">
        <v>45876</v>
      </c>
      <c r="AC48" s="1">
        <v>45876</v>
      </c>
      <c r="AD48" s="1">
        <v>45876</v>
      </c>
      <c r="AE48" s="1">
        <v>45876</v>
      </c>
      <c r="AF48" s="1">
        <v>45876</v>
      </c>
      <c r="AG48" s="1"/>
      <c r="AH48" s="1"/>
      <c r="AI48" s="1"/>
      <c r="AJ48" s="1"/>
      <c r="AK48" s="1"/>
      <c r="AL48" s="1"/>
      <c r="AM48" s="9" t="s">
        <v>619</v>
      </c>
      <c r="AN48" s="2">
        <f>+Pedidos_Pistachos[[#This Row],[CantidadPedida]]</f>
        <v>210</v>
      </c>
      <c r="AO48" s="2">
        <f>+Pedidos_Pistachos[[#This Row],[Cajas]]*2</f>
        <v>420</v>
      </c>
    </row>
    <row r="49" spans="1:41" x14ac:dyDescent="0.25">
      <c r="A49">
        <v>77694</v>
      </c>
      <c r="B49">
        <v>2</v>
      </c>
      <c r="C49" s="9" t="s">
        <v>40</v>
      </c>
      <c r="D49" s="9" t="s">
        <v>513</v>
      </c>
      <c r="E49" s="9" t="s">
        <v>61</v>
      </c>
      <c r="F49" s="9" t="s">
        <v>62</v>
      </c>
      <c r="G49" s="9" t="s">
        <v>46</v>
      </c>
      <c r="H49" s="9" t="s">
        <v>47</v>
      </c>
      <c r="I49" s="6">
        <v>115</v>
      </c>
      <c r="J49" s="8">
        <v>14.75</v>
      </c>
      <c r="K49" s="6">
        <v>115</v>
      </c>
      <c r="L49" s="6">
        <v>115</v>
      </c>
      <c r="M49" s="6">
        <v>1150</v>
      </c>
      <c r="N49" s="9" t="s">
        <v>42</v>
      </c>
      <c r="O49" s="9" t="s">
        <v>48</v>
      </c>
      <c r="P49" s="9" t="s">
        <v>41</v>
      </c>
      <c r="Q49" s="9" t="s">
        <v>514</v>
      </c>
      <c r="R49" s="9" t="s">
        <v>518</v>
      </c>
      <c r="S49" s="9" t="s">
        <v>516</v>
      </c>
      <c r="T49" s="9" t="s">
        <v>517</v>
      </c>
      <c r="U49" s="9" t="s">
        <v>39</v>
      </c>
      <c r="V49">
        <v>134327</v>
      </c>
      <c r="W49" s="1">
        <v>45880</v>
      </c>
      <c r="X49" s="9" t="s">
        <v>53</v>
      </c>
      <c r="Y49">
        <v>154703</v>
      </c>
      <c r="Z49" s="1">
        <v>45877</v>
      </c>
      <c r="AA49" s="1">
        <v>45877</v>
      </c>
      <c r="AB49" s="1">
        <v>45880</v>
      </c>
      <c r="AC49" s="1">
        <v>45880</v>
      </c>
      <c r="AD49" s="1">
        <v>45880</v>
      </c>
      <c r="AE49" s="1">
        <v>45880</v>
      </c>
      <c r="AF49" s="1">
        <v>45880</v>
      </c>
      <c r="AG49" s="1"/>
      <c r="AH49" s="1"/>
      <c r="AI49" s="1"/>
      <c r="AJ49" s="1"/>
      <c r="AK49" s="1"/>
      <c r="AL49" s="1"/>
      <c r="AM49" s="9" t="s">
        <v>619</v>
      </c>
      <c r="AN49" s="2">
        <f>+Pedidos_Pistachos[[#This Row],[CantidadPedida]]</f>
        <v>115</v>
      </c>
      <c r="AO49" s="2">
        <f>+Pedidos_Pistachos[[#This Row],[Cajas]]*2</f>
        <v>230</v>
      </c>
    </row>
    <row r="50" spans="1:41" x14ac:dyDescent="0.25">
      <c r="A50">
        <v>77694</v>
      </c>
      <c r="B50">
        <v>1</v>
      </c>
      <c r="C50" s="9" t="s">
        <v>40</v>
      </c>
      <c r="D50" s="9" t="s">
        <v>513</v>
      </c>
      <c r="E50" s="9" t="s">
        <v>55</v>
      </c>
      <c r="F50" s="9" t="s">
        <v>56</v>
      </c>
      <c r="G50" s="9" t="s">
        <v>46</v>
      </c>
      <c r="H50" s="9" t="s">
        <v>47</v>
      </c>
      <c r="I50" s="6">
        <v>33</v>
      </c>
      <c r="J50" s="8">
        <v>26.3</v>
      </c>
      <c r="K50" s="6">
        <v>33</v>
      </c>
      <c r="L50" s="6">
        <v>33</v>
      </c>
      <c r="M50" s="6">
        <v>330</v>
      </c>
      <c r="N50" s="9" t="s">
        <v>42</v>
      </c>
      <c r="O50" s="9" t="s">
        <v>48</v>
      </c>
      <c r="P50" s="9" t="s">
        <v>41</v>
      </c>
      <c r="Q50" s="9" t="s">
        <v>514</v>
      </c>
      <c r="R50" s="9" t="s">
        <v>515</v>
      </c>
      <c r="S50" s="9" t="s">
        <v>516</v>
      </c>
      <c r="T50" s="9" t="s">
        <v>517</v>
      </c>
      <c r="U50" s="9" t="s">
        <v>39</v>
      </c>
      <c r="V50">
        <v>134330</v>
      </c>
      <c r="W50" s="1">
        <v>45880</v>
      </c>
      <c r="X50" s="9" t="s">
        <v>53</v>
      </c>
      <c r="Y50">
        <v>154702</v>
      </c>
      <c r="Z50" s="1">
        <v>45877</v>
      </c>
      <c r="AA50" s="1">
        <v>45880</v>
      </c>
      <c r="AB50" s="1">
        <v>45880</v>
      </c>
      <c r="AC50" s="1">
        <v>45880</v>
      </c>
      <c r="AD50" s="1">
        <v>45880</v>
      </c>
      <c r="AE50" s="1">
        <v>45880</v>
      </c>
      <c r="AF50" s="1">
        <v>45880</v>
      </c>
      <c r="AG50" s="1"/>
      <c r="AH50" s="1"/>
      <c r="AI50" s="1"/>
      <c r="AJ50" s="1"/>
      <c r="AK50" s="1"/>
      <c r="AL50" s="1"/>
      <c r="AM50" s="9" t="s">
        <v>619</v>
      </c>
      <c r="AN50" s="2">
        <f>+Pedidos_Pistachos[[#This Row],[CantidadPedida]]</f>
        <v>33</v>
      </c>
      <c r="AO50" s="2">
        <f>+Pedidos_Pistachos[[#This Row],[Cajas]]*2</f>
        <v>66</v>
      </c>
    </row>
    <row r="51" spans="1:41" x14ac:dyDescent="0.25">
      <c r="A51">
        <v>77693</v>
      </c>
      <c r="B51">
        <v>1</v>
      </c>
      <c r="C51" s="9" t="s">
        <v>40</v>
      </c>
      <c r="D51" s="9" t="s">
        <v>508</v>
      </c>
      <c r="E51" s="9" t="s">
        <v>61</v>
      </c>
      <c r="F51" s="9" t="s">
        <v>62</v>
      </c>
      <c r="G51" s="9" t="s">
        <v>46</v>
      </c>
      <c r="H51" s="9" t="s">
        <v>47</v>
      </c>
      <c r="I51" s="6">
        <v>70</v>
      </c>
      <c r="J51" s="8">
        <v>14.75</v>
      </c>
      <c r="K51" s="6">
        <v>70</v>
      </c>
      <c r="L51" s="6">
        <v>70</v>
      </c>
      <c r="M51" s="6">
        <v>700</v>
      </c>
      <c r="N51" s="9" t="s">
        <v>42</v>
      </c>
      <c r="O51" s="9" t="s">
        <v>48</v>
      </c>
      <c r="P51" s="9" t="s">
        <v>41</v>
      </c>
      <c r="Q51" s="9" t="s">
        <v>509</v>
      </c>
      <c r="R51" s="9" t="s">
        <v>510</v>
      </c>
      <c r="S51" s="9" t="s">
        <v>511</v>
      </c>
      <c r="T51" s="9" t="s">
        <v>512</v>
      </c>
      <c r="U51" s="9" t="s">
        <v>39</v>
      </c>
      <c r="V51">
        <v>134334</v>
      </c>
      <c r="W51" s="1">
        <v>45880</v>
      </c>
      <c r="X51" s="9" t="s">
        <v>53</v>
      </c>
      <c r="Y51">
        <v>154701</v>
      </c>
      <c r="Z51" s="1">
        <v>45877</v>
      </c>
      <c r="AA51" s="1">
        <v>45877</v>
      </c>
      <c r="AB51" s="1">
        <v>45880</v>
      </c>
      <c r="AC51" s="1">
        <v>45880</v>
      </c>
      <c r="AD51" s="1">
        <v>45880</v>
      </c>
      <c r="AE51" s="1">
        <v>45880</v>
      </c>
      <c r="AF51" s="1">
        <v>45880</v>
      </c>
      <c r="AG51" s="1"/>
      <c r="AH51" s="1"/>
      <c r="AI51" s="1"/>
      <c r="AJ51" s="1"/>
      <c r="AK51" s="1"/>
      <c r="AL51" s="1"/>
      <c r="AM51" s="9" t="s">
        <v>619</v>
      </c>
      <c r="AN51" s="2">
        <f>+Pedidos_Pistachos[[#This Row],[CantidadPedida]]</f>
        <v>70</v>
      </c>
      <c r="AO51" s="2">
        <f>+Pedidos_Pistachos[[#This Row],[Cajas]]*2</f>
        <v>140</v>
      </c>
    </row>
    <row r="52" spans="1:41" x14ac:dyDescent="0.25">
      <c r="A52">
        <v>77692</v>
      </c>
      <c r="B52">
        <v>1</v>
      </c>
      <c r="C52" s="9" t="s">
        <v>40</v>
      </c>
      <c r="D52" s="9" t="s">
        <v>503</v>
      </c>
      <c r="E52" s="9" t="s">
        <v>61</v>
      </c>
      <c r="F52" s="9" t="s">
        <v>62</v>
      </c>
      <c r="G52" s="9" t="s">
        <v>46</v>
      </c>
      <c r="H52" s="9" t="s">
        <v>47</v>
      </c>
      <c r="I52" s="6">
        <v>70</v>
      </c>
      <c r="J52" s="8">
        <v>14.75</v>
      </c>
      <c r="K52" s="6">
        <v>70</v>
      </c>
      <c r="L52" s="6">
        <v>70</v>
      </c>
      <c r="M52" s="6">
        <v>700</v>
      </c>
      <c r="N52" s="9" t="s">
        <v>42</v>
      </c>
      <c r="O52" s="9" t="s">
        <v>48</v>
      </c>
      <c r="P52" s="9" t="s">
        <v>41</v>
      </c>
      <c r="Q52" s="9" t="s">
        <v>504</v>
      </c>
      <c r="R52" s="9" t="s">
        <v>505</v>
      </c>
      <c r="S52" s="9" t="s">
        <v>506</v>
      </c>
      <c r="T52" s="9" t="s">
        <v>507</v>
      </c>
      <c r="U52" s="9" t="s">
        <v>39</v>
      </c>
      <c r="V52">
        <v>134341</v>
      </c>
      <c r="W52" s="1">
        <v>45880</v>
      </c>
      <c r="X52" s="9" t="s">
        <v>53</v>
      </c>
      <c r="Y52">
        <v>154700</v>
      </c>
      <c r="Z52" s="1">
        <v>45877</v>
      </c>
      <c r="AA52" s="1">
        <v>45877</v>
      </c>
      <c r="AB52" s="1">
        <v>45880</v>
      </c>
      <c r="AC52" s="1">
        <v>45880</v>
      </c>
      <c r="AD52" s="1">
        <v>45880</v>
      </c>
      <c r="AE52" s="1">
        <v>45880</v>
      </c>
      <c r="AF52" s="1">
        <v>45880</v>
      </c>
      <c r="AG52" s="1"/>
      <c r="AH52" s="1"/>
      <c r="AI52" s="1"/>
      <c r="AJ52" s="1"/>
      <c r="AK52" s="1"/>
      <c r="AL52" s="1"/>
      <c r="AM52" s="9" t="s">
        <v>619</v>
      </c>
      <c r="AN52" s="2">
        <f>+Pedidos_Pistachos[[#This Row],[CantidadPedida]]</f>
        <v>70</v>
      </c>
      <c r="AO52" s="2">
        <f>+Pedidos_Pistachos[[#This Row],[Cajas]]*2</f>
        <v>140</v>
      </c>
    </row>
    <row r="53" spans="1:41" x14ac:dyDescent="0.25">
      <c r="A53">
        <v>77414</v>
      </c>
      <c r="B53">
        <v>1</v>
      </c>
      <c r="C53" s="9" t="s">
        <v>40</v>
      </c>
      <c r="D53" s="9" t="s">
        <v>189</v>
      </c>
      <c r="E53" s="9" t="s">
        <v>218</v>
      </c>
      <c r="F53" s="9" t="s">
        <v>219</v>
      </c>
      <c r="G53" s="9" t="s">
        <v>46</v>
      </c>
      <c r="H53" s="9" t="s">
        <v>47</v>
      </c>
      <c r="I53" s="6">
        <v>20</v>
      </c>
      <c r="J53" s="8">
        <v>26.9</v>
      </c>
      <c r="K53" s="6">
        <v>20</v>
      </c>
      <c r="L53" s="6">
        <v>20</v>
      </c>
      <c r="M53" s="6">
        <v>200</v>
      </c>
      <c r="N53" s="9" t="s">
        <v>42</v>
      </c>
      <c r="O53" s="9" t="s">
        <v>48</v>
      </c>
      <c r="P53" s="9" t="s">
        <v>41</v>
      </c>
      <c r="Q53" s="9" t="s">
        <v>220</v>
      </c>
      <c r="R53" s="9" t="s">
        <v>221</v>
      </c>
      <c r="S53" s="9" t="s">
        <v>222</v>
      </c>
      <c r="T53" s="9" t="s">
        <v>223</v>
      </c>
      <c r="U53" s="9" t="s">
        <v>39</v>
      </c>
      <c r="V53">
        <v>134333</v>
      </c>
      <c r="W53" s="1">
        <v>45880</v>
      </c>
      <c r="X53" s="9" t="s">
        <v>53</v>
      </c>
      <c r="Y53">
        <v>153397</v>
      </c>
      <c r="Z53" s="1">
        <v>45870</v>
      </c>
      <c r="AA53" s="1">
        <v>45870</v>
      </c>
      <c r="AB53" s="1">
        <v>45876</v>
      </c>
      <c r="AC53" s="1">
        <v>45880</v>
      </c>
      <c r="AD53" s="1">
        <v>45880</v>
      </c>
      <c r="AE53" s="1">
        <v>45880</v>
      </c>
      <c r="AF53" s="1">
        <v>45880</v>
      </c>
      <c r="AG53" s="1"/>
      <c r="AH53" s="1"/>
      <c r="AI53" s="1"/>
      <c r="AJ53" s="1"/>
      <c r="AK53" s="1"/>
      <c r="AL53" s="1"/>
      <c r="AM53" s="9" t="s">
        <v>619</v>
      </c>
      <c r="AN53" s="2">
        <f>+Pedidos_Pistachos[[#This Row],[CantidadPedida]]</f>
        <v>20</v>
      </c>
      <c r="AO53" s="2">
        <f>+Pedidos_Pistachos[[#This Row],[Cajas]]*2</f>
        <v>40</v>
      </c>
    </row>
    <row r="54" spans="1:41" x14ac:dyDescent="0.25">
      <c r="A54">
        <v>77414</v>
      </c>
      <c r="B54">
        <v>2</v>
      </c>
      <c r="C54" s="9" t="s">
        <v>40</v>
      </c>
      <c r="D54" s="9" t="s">
        <v>189</v>
      </c>
      <c r="E54" s="9" t="s">
        <v>55</v>
      </c>
      <c r="F54" s="9" t="s">
        <v>56</v>
      </c>
      <c r="G54" s="9" t="s">
        <v>46</v>
      </c>
      <c r="H54" s="9" t="s">
        <v>47</v>
      </c>
      <c r="I54" s="6">
        <v>15</v>
      </c>
      <c r="J54" s="8">
        <v>26.3</v>
      </c>
      <c r="K54" s="6">
        <v>15</v>
      </c>
      <c r="L54" s="6">
        <v>15</v>
      </c>
      <c r="M54" s="6">
        <v>150</v>
      </c>
      <c r="N54" s="9" t="s">
        <v>42</v>
      </c>
      <c r="O54" s="9" t="s">
        <v>48</v>
      </c>
      <c r="P54" s="9" t="s">
        <v>41</v>
      </c>
      <c r="Q54" s="9" t="s">
        <v>220</v>
      </c>
      <c r="R54" s="9" t="s">
        <v>224</v>
      </c>
      <c r="S54" s="9" t="s">
        <v>222</v>
      </c>
      <c r="T54" s="9" t="s">
        <v>223</v>
      </c>
      <c r="U54" s="9" t="s">
        <v>39</v>
      </c>
      <c r="V54">
        <v>134332</v>
      </c>
      <c r="W54" s="1">
        <v>45880</v>
      </c>
      <c r="X54" s="9" t="s">
        <v>53</v>
      </c>
      <c r="Y54">
        <v>153406</v>
      </c>
      <c r="Z54" s="1">
        <v>45870</v>
      </c>
      <c r="AA54" s="1">
        <v>45870</v>
      </c>
      <c r="AB54" s="1">
        <v>45876</v>
      </c>
      <c r="AC54" s="1">
        <v>45880</v>
      </c>
      <c r="AD54" s="1">
        <v>45880</v>
      </c>
      <c r="AE54" s="1">
        <v>45880</v>
      </c>
      <c r="AF54" s="1">
        <v>45880</v>
      </c>
      <c r="AG54" s="1"/>
      <c r="AH54" s="1"/>
      <c r="AI54" s="1"/>
      <c r="AJ54" s="1"/>
      <c r="AK54" s="1"/>
      <c r="AL54" s="1"/>
      <c r="AM54" s="9" t="s">
        <v>619</v>
      </c>
      <c r="AN54" s="2">
        <f>+Pedidos_Pistachos[[#This Row],[CantidadPedida]]</f>
        <v>15</v>
      </c>
      <c r="AO54" s="2">
        <f>+Pedidos_Pistachos[[#This Row],[Cajas]]*2</f>
        <v>30</v>
      </c>
    </row>
    <row r="55" spans="1:41" x14ac:dyDescent="0.25">
      <c r="A55">
        <v>77414</v>
      </c>
      <c r="B55">
        <v>3</v>
      </c>
      <c r="C55" s="9" t="s">
        <v>40</v>
      </c>
      <c r="D55" s="9" t="s">
        <v>189</v>
      </c>
      <c r="E55" s="9" t="s">
        <v>61</v>
      </c>
      <c r="F55" s="9" t="s">
        <v>62</v>
      </c>
      <c r="G55" s="9" t="s">
        <v>46</v>
      </c>
      <c r="H55" s="9" t="s">
        <v>47</v>
      </c>
      <c r="I55" s="6">
        <v>70</v>
      </c>
      <c r="J55" s="8">
        <v>14.75</v>
      </c>
      <c r="K55" s="6">
        <v>70</v>
      </c>
      <c r="L55" s="6">
        <v>70</v>
      </c>
      <c r="M55" s="6">
        <v>700</v>
      </c>
      <c r="N55" s="9" t="s">
        <v>42</v>
      </c>
      <c r="O55" s="9" t="s">
        <v>48</v>
      </c>
      <c r="P55" s="9" t="s">
        <v>41</v>
      </c>
      <c r="Q55" s="9" t="s">
        <v>220</v>
      </c>
      <c r="R55" s="9" t="s">
        <v>225</v>
      </c>
      <c r="S55" s="9" t="s">
        <v>222</v>
      </c>
      <c r="T55" s="9" t="s">
        <v>223</v>
      </c>
      <c r="U55" s="9" t="s">
        <v>39</v>
      </c>
      <c r="V55">
        <v>134331</v>
      </c>
      <c r="W55" s="1">
        <v>45880</v>
      </c>
      <c r="X55" s="9" t="s">
        <v>53</v>
      </c>
      <c r="Y55">
        <v>153407</v>
      </c>
      <c r="Z55" s="1">
        <v>45870</v>
      </c>
      <c r="AA55" s="1">
        <v>45870</v>
      </c>
      <c r="AB55" s="1">
        <v>45876</v>
      </c>
      <c r="AC55" s="1">
        <v>45880</v>
      </c>
      <c r="AD55" s="1">
        <v>45880</v>
      </c>
      <c r="AE55" s="1">
        <v>45880</v>
      </c>
      <c r="AF55" s="1">
        <v>45880</v>
      </c>
      <c r="AG55" s="1"/>
      <c r="AH55" s="1"/>
      <c r="AI55" s="1"/>
      <c r="AJ55" s="1"/>
      <c r="AK55" s="1"/>
      <c r="AL55" s="1"/>
      <c r="AM55" s="9" t="s">
        <v>619</v>
      </c>
      <c r="AN55" s="2">
        <f>+Pedidos_Pistachos[[#This Row],[CantidadPedida]]</f>
        <v>70</v>
      </c>
      <c r="AO55" s="2">
        <f>+Pedidos_Pistachos[[#This Row],[Cajas]]*2</f>
        <v>140</v>
      </c>
    </row>
    <row r="56" spans="1:41" x14ac:dyDescent="0.25">
      <c r="A56">
        <v>77767</v>
      </c>
      <c r="B56">
        <v>1</v>
      </c>
      <c r="C56" s="9" t="s">
        <v>40</v>
      </c>
      <c r="D56" s="9" t="s">
        <v>167</v>
      </c>
      <c r="E56" s="9" t="s">
        <v>44</v>
      </c>
      <c r="F56" s="9" t="s">
        <v>45</v>
      </c>
      <c r="G56" s="9" t="s">
        <v>46</v>
      </c>
      <c r="H56" s="9" t="s">
        <v>47</v>
      </c>
      <c r="I56" s="6">
        <v>210</v>
      </c>
      <c r="J56" s="8">
        <v>28</v>
      </c>
      <c r="K56" s="6">
        <v>210</v>
      </c>
      <c r="L56" s="6">
        <v>210</v>
      </c>
      <c r="M56" s="6">
        <v>2100</v>
      </c>
      <c r="N56" s="9" t="s">
        <v>42</v>
      </c>
      <c r="O56" s="9" t="s">
        <v>48</v>
      </c>
      <c r="P56" s="9" t="s">
        <v>41</v>
      </c>
      <c r="Q56" s="9" t="s">
        <v>230</v>
      </c>
      <c r="R56" s="9" t="s">
        <v>541</v>
      </c>
      <c r="S56" s="9" t="s">
        <v>232</v>
      </c>
      <c r="T56" s="9" t="s">
        <v>233</v>
      </c>
      <c r="U56" s="9" t="s">
        <v>39</v>
      </c>
      <c r="V56">
        <v>134555</v>
      </c>
      <c r="W56" s="1">
        <v>45881</v>
      </c>
      <c r="X56" s="9" t="s">
        <v>53</v>
      </c>
      <c r="Y56">
        <v>155023</v>
      </c>
      <c r="Z56" s="1">
        <v>45881</v>
      </c>
      <c r="AA56" s="1">
        <v>45881</v>
      </c>
      <c r="AB56" s="1">
        <v>45881</v>
      </c>
      <c r="AC56" s="1">
        <v>45881</v>
      </c>
      <c r="AD56" s="1">
        <v>45881</v>
      </c>
      <c r="AE56" s="1">
        <v>45881</v>
      </c>
      <c r="AF56" s="1">
        <v>45881</v>
      </c>
      <c r="AG56" s="1"/>
      <c r="AH56" s="1"/>
      <c r="AI56" s="1"/>
      <c r="AJ56" s="1"/>
      <c r="AK56" s="1"/>
      <c r="AL56" s="1"/>
      <c r="AM56" s="9" t="s">
        <v>619</v>
      </c>
      <c r="AN56" s="2">
        <f>+Pedidos_Pistachos[[#This Row],[CantidadPedida]]</f>
        <v>210</v>
      </c>
      <c r="AO56" s="2">
        <f>+Pedidos_Pistachos[[#This Row],[Cajas]]*2</f>
        <v>420</v>
      </c>
    </row>
    <row r="57" spans="1:41" x14ac:dyDescent="0.25">
      <c r="A57">
        <v>77754</v>
      </c>
      <c r="B57">
        <v>2</v>
      </c>
      <c r="C57" s="9" t="s">
        <v>38</v>
      </c>
      <c r="D57" s="9" t="s">
        <v>86</v>
      </c>
      <c r="E57" s="9" t="s">
        <v>55</v>
      </c>
      <c r="F57" s="9" t="s">
        <v>56</v>
      </c>
      <c r="G57" s="9" t="s">
        <v>46</v>
      </c>
      <c r="H57" s="9" t="s">
        <v>47</v>
      </c>
      <c r="I57" s="6">
        <v>20</v>
      </c>
      <c r="J57" s="8">
        <v>35.89</v>
      </c>
      <c r="K57" s="6">
        <v>20</v>
      </c>
      <c r="L57" s="6">
        <v>20</v>
      </c>
      <c r="M57" s="6">
        <v>200</v>
      </c>
      <c r="N57" s="9" t="s">
        <v>42</v>
      </c>
      <c r="O57" s="9" t="s">
        <v>48</v>
      </c>
      <c r="P57" s="9" t="s">
        <v>41</v>
      </c>
      <c r="Q57" s="9" t="s">
        <v>536</v>
      </c>
      <c r="R57" s="9" t="s">
        <v>540</v>
      </c>
      <c r="S57" s="9" t="s">
        <v>538</v>
      </c>
      <c r="T57" s="9" t="s">
        <v>539</v>
      </c>
      <c r="U57" s="9" t="s">
        <v>39</v>
      </c>
      <c r="V57">
        <v>134471</v>
      </c>
      <c r="W57" s="1">
        <v>45881</v>
      </c>
      <c r="X57" s="9" t="s">
        <v>53</v>
      </c>
      <c r="Y57">
        <v>155000</v>
      </c>
      <c r="Z57" s="1">
        <v>45881</v>
      </c>
      <c r="AA57" s="1">
        <v>45881</v>
      </c>
      <c r="AB57" s="1">
        <v>45881</v>
      </c>
      <c r="AC57" s="1">
        <v>45881</v>
      </c>
      <c r="AD57" s="1">
        <v>45881</v>
      </c>
      <c r="AE57" s="1">
        <v>45881</v>
      </c>
      <c r="AF57" s="1">
        <v>45881</v>
      </c>
      <c r="AG57" s="1"/>
      <c r="AH57" s="1"/>
      <c r="AI57" s="1"/>
      <c r="AJ57" s="1"/>
      <c r="AK57" s="1"/>
      <c r="AL57" s="1"/>
      <c r="AM57" s="9" t="s">
        <v>619</v>
      </c>
      <c r="AN57" s="2">
        <f>+Pedidos_Pistachos[[#This Row],[CantidadPedida]]</f>
        <v>20</v>
      </c>
      <c r="AO57" s="2">
        <f>+Pedidos_Pistachos[[#This Row],[Cajas]]*2</f>
        <v>40</v>
      </c>
    </row>
    <row r="58" spans="1:41" x14ac:dyDescent="0.25">
      <c r="A58">
        <v>77754</v>
      </c>
      <c r="B58">
        <v>1</v>
      </c>
      <c r="C58" s="9" t="s">
        <v>38</v>
      </c>
      <c r="D58" s="9" t="s">
        <v>86</v>
      </c>
      <c r="E58" s="9" t="s">
        <v>61</v>
      </c>
      <c r="F58" s="9" t="s">
        <v>62</v>
      </c>
      <c r="G58" s="9" t="s">
        <v>46</v>
      </c>
      <c r="H58" s="9" t="s">
        <v>47</v>
      </c>
      <c r="I58" s="6">
        <v>20</v>
      </c>
      <c r="J58" s="8">
        <v>20.149999999999999</v>
      </c>
      <c r="K58" s="6">
        <v>20</v>
      </c>
      <c r="L58" s="6">
        <v>20</v>
      </c>
      <c r="M58" s="6">
        <v>200</v>
      </c>
      <c r="N58" s="9" t="s">
        <v>42</v>
      </c>
      <c r="O58" s="9" t="s">
        <v>48</v>
      </c>
      <c r="P58" s="9" t="s">
        <v>41</v>
      </c>
      <c r="Q58" s="9" t="s">
        <v>536</v>
      </c>
      <c r="R58" s="9" t="s">
        <v>537</v>
      </c>
      <c r="S58" s="9" t="s">
        <v>538</v>
      </c>
      <c r="T58" s="9" t="s">
        <v>539</v>
      </c>
      <c r="U58" s="9" t="s">
        <v>39</v>
      </c>
      <c r="V58">
        <v>134472</v>
      </c>
      <c r="W58" s="1">
        <v>45881</v>
      </c>
      <c r="X58" s="9" t="s">
        <v>53</v>
      </c>
      <c r="Y58">
        <v>154999</v>
      </c>
      <c r="Z58" s="1">
        <v>45881</v>
      </c>
      <c r="AA58" s="1">
        <v>45881</v>
      </c>
      <c r="AB58" s="1">
        <v>45881</v>
      </c>
      <c r="AC58" s="1">
        <v>45881</v>
      </c>
      <c r="AD58" s="1">
        <v>45881</v>
      </c>
      <c r="AE58" s="1">
        <v>45881</v>
      </c>
      <c r="AF58" s="1">
        <v>45881</v>
      </c>
      <c r="AG58" s="1"/>
      <c r="AH58" s="1"/>
      <c r="AI58" s="1"/>
      <c r="AJ58" s="1"/>
      <c r="AK58" s="1"/>
      <c r="AL58" s="1"/>
      <c r="AM58" s="9" t="s">
        <v>619</v>
      </c>
      <c r="AN58" s="2">
        <f>+Pedidos_Pistachos[[#This Row],[CantidadPedida]]</f>
        <v>20</v>
      </c>
      <c r="AO58" s="2">
        <f>+Pedidos_Pistachos[[#This Row],[Cajas]]*2</f>
        <v>40</v>
      </c>
    </row>
    <row r="59" spans="1:41" x14ac:dyDescent="0.25">
      <c r="A59">
        <v>77734</v>
      </c>
      <c r="B59">
        <v>3</v>
      </c>
      <c r="C59" s="9" t="s">
        <v>40</v>
      </c>
      <c r="D59" s="9" t="s">
        <v>407</v>
      </c>
      <c r="E59" s="9" t="s">
        <v>126</v>
      </c>
      <c r="F59" s="9" t="s">
        <v>127</v>
      </c>
      <c r="G59" s="9" t="s">
        <v>46</v>
      </c>
      <c r="H59" s="9" t="s">
        <v>47</v>
      </c>
      <c r="I59" s="6">
        <v>140</v>
      </c>
      <c r="J59" s="8">
        <v>29.9</v>
      </c>
      <c r="K59" s="6">
        <v>140</v>
      </c>
      <c r="L59" s="6">
        <v>140</v>
      </c>
      <c r="M59" s="6">
        <v>1400</v>
      </c>
      <c r="N59" s="9" t="s">
        <v>42</v>
      </c>
      <c r="O59" s="9" t="s">
        <v>48</v>
      </c>
      <c r="P59" s="9" t="s">
        <v>41</v>
      </c>
      <c r="Q59" s="9" t="s">
        <v>528</v>
      </c>
      <c r="R59" s="9" t="s">
        <v>529</v>
      </c>
      <c r="S59" s="9" t="s">
        <v>530</v>
      </c>
      <c r="T59" s="9" t="s">
        <v>531</v>
      </c>
      <c r="U59" s="9" t="s">
        <v>39</v>
      </c>
      <c r="V59">
        <v>134456</v>
      </c>
      <c r="W59" s="1">
        <v>45881</v>
      </c>
      <c r="X59" s="9" t="s">
        <v>53</v>
      </c>
      <c r="Y59">
        <v>154905</v>
      </c>
      <c r="Z59" s="1">
        <v>45881</v>
      </c>
      <c r="AA59" s="1">
        <v>45881</v>
      </c>
      <c r="AB59" s="1">
        <v>45881</v>
      </c>
      <c r="AC59" s="1">
        <v>45881</v>
      </c>
      <c r="AD59" s="1">
        <v>45881</v>
      </c>
      <c r="AE59" s="1">
        <v>45881</v>
      </c>
      <c r="AF59" s="1">
        <v>45881</v>
      </c>
      <c r="AG59" s="1"/>
      <c r="AH59" s="1"/>
      <c r="AI59" s="1"/>
      <c r="AJ59" s="1"/>
      <c r="AK59" s="1"/>
      <c r="AL59" s="1"/>
      <c r="AM59" s="9" t="s">
        <v>619</v>
      </c>
      <c r="AN59" s="2">
        <f>+Pedidos_Pistachos[[#This Row],[CantidadPedida]]</f>
        <v>140</v>
      </c>
      <c r="AO59" s="2">
        <f>+Pedidos_Pistachos[[#This Row],[Cajas]]*2</f>
        <v>280</v>
      </c>
    </row>
    <row r="60" spans="1:41" x14ac:dyDescent="0.25">
      <c r="A60">
        <v>77734</v>
      </c>
      <c r="B60">
        <v>2</v>
      </c>
      <c r="C60" s="9" t="s">
        <v>40</v>
      </c>
      <c r="D60" s="9" t="s">
        <v>407</v>
      </c>
      <c r="E60" s="9" t="s">
        <v>126</v>
      </c>
      <c r="F60" s="9" t="s">
        <v>127</v>
      </c>
      <c r="G60" s="9" t="s">
        <v>46</v>
      </c>
      <c r="H60" s="9" t="s">
        <v>47</v>
      </c>
      <c r="I60" s="6">
        <v>840</v>
      </c>
      <c r="J60" s="8">
        <v>28.9</v>
      </c>
      <c r="K60" s="6">
        <v>840</v>
      </c>
      <c r="L60" s="6">
        <v>840</v>
      </c>
      <c r="M60" s="6">
        <v>8400</v>
      </c>
      <c r="N60" s="9" t="s">
        <v>42</v>
      </c>
      <c r="O60" s="9" t="s">
        <v>48</v>
      </c>
      <c r="P60" s="9" t="s">
        <v>41</v>
      </c>
      <c r="Q60" s="9" t="s">
        <v>524</v>
      </c>
      <c r="R60" s="9" t="s">
        <v>525</v>
      </c>
      <c r="S60" s="9" t="s">
        <v>526</v>
      </c>
      <c r="T60" s="9" t="s">
        <v>527</v>
      </c>
      <c r="U60" s="9" t="s">
        <v>39</v>
      </c>
      <c r="V60">
        <v>134455</v>
      </c>
      <c r="W60" s="1">
        <v>45881</v>
      </c>
      <c r="X60" s="9" t="s">
        <v>53</v>
      </c>
      <c r="Y60">
        <v>154904</v>
      </c>
      <c r="Z60" s="1">
        <v>45881</v>
      </c>
      <c r="AA60" s="1">
        <v>45881</v>
      </c>
      <c r="AB60" s="1">
        <v>45881</v>
      </c>
      <c r="AC60" s="1">
        <v>45881</v>
      </c>
      <c r="AD60" s="1">
        <v>45881</v>
      </c>
      <c r="AE60" s="1">
        <v>45881</v>
      </c>
      <c r="AF60" s="1">
        <v>45881</v>
      </c>
      <c r="AG60" s="1"/>
      <c r="AH60" s="1"/>
      <c r="AI60" s="1"/>
      <c r="AJ60" s="1"/>
      <c r="AK60" s="1"/>
      <c r="AL60" s="1"/>
      <c r="AM60" s="9" t="s">
        <v>619</v>
      </c>
      <c r="AN60" s="2">
        <f>+Pedidos_Pistachos[[#This Row],[CantidadPedida]]</f>
        <v>840</v>
      </c>
      <c r="AO60" s="2">
        <f>+Pedidos_Pistachos[[#This Row],[Cajas]]*2</f>
        <v>1680</v>
      </c>
    </row>
    <row r="61" spans="1:41" x14ac:dyDescent="0.25">
      <c r="A61">
        <v>77734</v>
      </c>
      <c r="B61">
        <v>1</v>
      </c>
      <c r="C61" s="9" t="s">
        <v>40</v>
      </c>
      <c r="D61" s="9" t="s">
        <v>407</v>
      </c>
      <c r="E61" s="9" t="s">
        <v>126</v>
      </c>
      <c r="F61" s="9" t="s">
        <v>127</v>
      </c>
      <c r="G61" s="9" t="s">
        <v>46</v>
      </c>
      <c r="H61" s="9" t="s">
        <v>47</v>
      </c>
      <c r="I61" s="6">
        <v>210</v>
      </c>
      <c r="J61" s="8">
        <v>27.9</v>
      </c>
      <c r="K61" s="6">
        <v>210</v>
      </c>
      <c r="L61" s="6">
        <v>210</v>
      </c>
      <c r="M61" s="6">
        <v>2100</v>
      </c>
      <c r="N61" s="9" t="s">
        <v>42</v>
      </c>
      <c r="O61" s="9" t="s">
        <v>48</v>
      </c>
      <c r="P61" s="9" t="s">
        <v>41</v>
      </c>
      <c r="Q61" s="9" t="s">
        <v>520</v>
      </c>
      <c r="R61" s="9" t="s">
        <v>521</v>
      </c>
      <c r="S61" s="9" t="s">
        <v>522</v>
      </c>
      <c r="T61" s="9" t="s">
        <v>523</v>
      </c>
      <c r="U61" s="9" t="s">
        <v>39</v>
      </c>
      <c r="V61">
        <v>134454</v>
      </c>
      <c r="W61" s="1">
        <v>45881</v>
      </c>
      <c r="X61" s="9" t="s">
        <v>53</v>
      </c>
      <c r="Y61">
        <v>154901</v>
      </c>
      <c r="Z61" s="1">
        <v>45881</v>
      </c>
      <c r="AA61" s="1">
        <v>45881</v>
      </c>
      <c r="AB61" s="1">
        <v>45881</v>
      </c>
      <c r="AC61" s="1">
        <v>45881</v>
      </c>
      <c r="AD61" s="1">
        <v>45881</v>
      </c>
      <c r="AE61" s="1">
        <v>45881</v>
      </c>
      <c r="AF61" s="1">
        <v>45881</v>
      </c>
      <c r="AG61" s="1"/>
      <c r="AH61" s="1"/>
      <c r="AI61" s="1"/>
      <c r="AJ61" s="1"/>
      <c r="AK61" s="1"/>
      <c r="AL61" s="1"/>
      <c r="AM61" s="9" t="s">
        <v>619</v>
      </c>
      <c r="AN61" s="2">
        <f>+Pedidos_Pistachos[[#This Row],[CantidadPedida]]</f>
        <v>210</v>
      </c>
      <c r="AO61" s="2">
        <f>+Pedidos_Pistachos[[#This Row],[Cajas]]*2</f>
        <v>420</v>
      </c>
    </row>
    <row r="62" spans="1:41" x14ac:dyDescent="0.25">
      <c r="A62">
        <v>77691</v>
      </c>
      <c r="B62">
        <v>1</v>
      </c>
      <c r="C62" s="9" t="s">
        <v>40</v>
      </c>
      <c r="D62" s="9" t="s">
        <v>498</v>
      </c>
      <c r="E62" s="9" t="s">
        <v>61</v>
      </c>
      <c r="F62" s="9" t="s">
        <v>62</v>
      </c>
      <c r="G62" s="9" t="s">
        <v>46</v>
      </c>
      <c r="H62" s="9" t="s">
        <v>47</v>
      </c>
      <c r="I62" s="6">
        <v>70</v>
      </c>
      <c r="J62" s="8">
        <v>14.75</v>
      </c>
      <c r="K62" s="6">
        <v>70</v>
      </c>
      <c r="L62" s="6">
        <v>70</v>
      </c>
      <c r="M62" s="6">
        <v>700</v>
      </c>
      <c r="N62" s="9" t="s">
        <v>42</v>
      </c>
      <c r="O62" s="9" t="s">
        <v>48</v>
      </c>
      <c r="P62" s="9" t="s">
        <v>41</v>
      </c>
      <c r="Q62" s="9" t="s">
        <v>499</v>
      </c>
      <c r="R62" s="9" t="s">
        <v>500</v>
      </c>
      <c r="S62" s="9" t="s">
        <v>501</v>
      </c>
      <c r="T62" s="9" t="s">
        <v>502</v>
      </c>
      <c r="U62" s="9" t="s">
        <v>39</v>
      </c>
      <c r="V62">
        <v>134562</v>
      </c>
      <c r="W62" s="1">
        <v>45883</v>
      </c>
      <c r="X62" s="9" t="s">
        <v>53</v>
      </c>
      <c r="Y62">
        <v>154699</v>
      </c>
      <c r="Z62" s="1">
        <v>45877</v>
      </c>
      <c r="AA62" s="1">
        <v>45877</v>
      </c>
      <c r="AB62" s="1">
        <v>45881</v>
      </c>
      <c r="AC62" s="1">
        <v>45881</v>
      </c>
      <c r="AD62" s="1">
        <v>45881</v>
      </c>
      <c r="AE62" s="1">
        <v>45881</v>
      </c>
      <c r="AF62" s="1">
        <v>45881</v>
      </c>
      <c r="AG62" s="1"/>
      <c r="AH62" s="1"/>
      <c r="AI62" s="1"/>
      <c r="AJ62" s="1"/>
      <c r="AK62" s="1"/>
      <c r="AL62" s="1"/>
      <c r="AM62" s="9" t="s">
        <v>619</v>
      </c>
      <c r="AN62" s="2">
        <f>+Pedidos_Pistachos[[#This Row],[CantidadPedida]]</f>
        <v>70</v>
      </c>
      <c r="AO62" s="2">
        <f>+Pedidos_Pistachos[[#This Row],[Cajas]]*2</f>
        <v>140</v>
      </c>
    </row>
    <row r="63" spans="1:41" x14ac:dyDescent="0.25">
      <c r="A63">
        <v>77690</v>
      </c>
      <c r="B63">
        <v>1</v>
      </c>
      <c r="C63" s="9" t="s">
        <v>40</v>
      </c>
      <c r="D63" s="9" t="s">
        <v>493</v>
      </c>
      <c r="E63" s="9" t="s">
        <v>61</v>
      </c>
      <c r="F63" s="9" t="s">
        <v>62</v>
      </c>
      <c r="G63" s="9" t="s">
        <v>46</v>
      </c>
      <c r="H63" s="9" t="s">
        <v>47</v>
      </c>
      <c r="I63" s="6">
        <v>140</v>
      </c>
      <c r="J63" s="8">
        <v>14.75</v>
      </c>
      <c r="K63" s="6">
        <v>140</v>
      </c>
      <c r="L63" s="6">
        <v>140</v>
      </c>
      <c r="M63" s="6">
        <v>1400</v>
      </c>
      <c r="N63" s="9" t="s">
        <v>42</v>
      </c>
      <c r="O63" s="9" t="s">
        <v>48</v>
      </c>
      <c r="P63" s="9" t="s">
        <v>41</v>
      </c>
      <c r="Q63" s="9" t="s">
        <v>494</v>
      </c>
      <c r="R63" s="9" t="s">
        <v>495</v>
      </c>
      <c r="S63" s="9" t="s">
        <v>496</v>
      </c>
      <c r="T63" s="9" t="s">
        <v>497</v>
      </c>
      <c r="U63" s="9" t="s">
        <v>39</v>
      </c>
      <c r="V63">
        <v>134563</v>
      </c>
      <c r="W63" s="1">
        <v>45883</v>
      </c>
      <c r="X63" s="9" t="s">
        <v>53</v>
      </c>
      <c r="Y63">
        <v>154698</v>
      </c>
      <c r="Z63" s="1">
        <v>45877</v>
      </c>
      <c r="AA63" s="1">
        <v>45877</v>
      </c>
      <c r="AB63" s="1">
        <v>45881</v>
      </c>
      <c r="AC63" s="1">
        <v>45881</v>
      </c>
      <c r="AD63" s="1">
        <v>45881</v>
      </c>
      <c r="AE63" s="1">
        <v>45881</v>
      </c>
      <c r="AF63" s="1">
        <v>45881</v>
      </c>
      <c r="AG63" s="1"/>
      <c r="AH63" s="1"/>
      <c r="AI63" s="1"/>
      <c r="AJ63" s="1"/>
      <c r="AK63" s="1"/>
      <c r="AL63" s="1"/>
      <c r="AM63" s="9" t="s">
        <v>619</v>
      </c>
      <c r="AN63" s="2">
        <f>+Pedidos_Pistachos[[#This Row],[CantidadPedida]]</f>
        <v>140</v>
      </c>
      <c r="AO63" s="2">
        <f>+Pedidos_Pistachos[[#This Row],[Cajas]]*2</f>
        <v>280</v>
      </c>
    </row>
    <row r="64" spans="1:41" x14ac:dyDescent="0.25">
      <c r="A64">
        <v>77689</v>
      </c>
      <c r="B64">
        <v>1</v>
      </c>
      <c r="C64" s="9" t="s">
        <v>40</v>
      </c>
      <c r="D64" s="9" t="s">
        <v>488</v>
      </c>
      <c r="E64" s="9" t="s">
        <v>61</v>
      </c>
      <c r="F64" s="9" t="s">
        <v>62</v>
      </c>
      <c r="G64" s="9" t="s">
        <v>46</v>
      </c>
      <c r="H64" s="9" t="s">
        <v>47</v>
      </c>
      <c r="I64" s="6">
        <v>70</v>
      </c>
      <c r="J64" s="8">
        <v>14.75</v>
      </c>
      <c r="K64" s="6">
        <v>70</v>
      </c>
      <c r="L64" s="6">
        <v>70</v>
      </c>
      <c r="M64" s="6">
        <v>700</v>
      </c>
      <c r="N64" s="9" t="s">
        <v>42</v>
      </c>
      <c r="O64" s="9" t="s">
        <v>48</v>
      </c>
      <c r="P64" s="9" t="s">
        <v>41</v>
      </c>
      <c r="Q64" s="9" t="s">
        <v>489</v>
      </c>
      <c r="R64" s="9" t="s">
        <v>490</v>
      </c>
      <c r="S64" s="9" t="s">
        <v>491</v>
      </c>
      <c r="T64" s="9" t="s">
        <v>492</v>
      </c>
      <c r="U64" s="9" t="s">
        <v>39</v>
      </c>
      <c r="V64">
        <v>134564</v>
      </c>
      <c r="W64" s="1">
        <v>45883</v>
      </c>
      <c r="X64" s="9" t="s">
        <v>53</v>
      </c>
      <c r="Y64">
        <v>154697</v>
      </c>
      <c r="Z64" s="1">
        <v>45877</v>
      </c>
      <c r="AA64" s="1">
        <v>45877</v>
      </c>
      <c r="AB64" s="1">
        <v>45881</v>
      </c>
      <c r="AC64" s="1">
        <v>45881</v>
      </c>
      <c r="AD64" s="1">
        <v>45881</v>
      </c>
      <c r="AE64" s="1">
        <v>45881</v>
      </c>
      <c r="AF64" s="1">
        <v>45881</v>
      </c>
      <c r="AG64" s="1"/>
      <c r="AH64" s="1"/>
      <c r="AI64" s="1"/>
      <c r="AJ64" s="1"/>
      <c r="AK64" s="1"/>
      <c r="AL64" s="1"/>
      <c r="AM64" s="9" t="s">
        <v>619</v>
      </c>
      <c r="AN64" s="2">
        <f>+Pedidos_Pistachos[[#This Row],[CantidadPedida]]</f>
        <v>70</v>
      </c>
      <c r="AO64" s="2">
        <f>+Pedidos_Pistachos[[#This Row],[Cajas]]*2</f>
        <v>140</v>
      </c>
    </row>
    <row r="65" spans="1:41" x14ac:dyDescent="0.25">
      <c r="A65">
        <v>77688</v>
      </c>
      <c r="B65">
        <v>1</v>
      </c>
      <c r="C65" s="9" t="s">
        <v>40</v>
      </c>
      <c r="D65" s="9" t="s">
        <v>483</v>
      </c>
      <c r="E65" s="9" t="s">
        <v>61</v>
      </c>
      <c r="F65" s="9" t="s">
        <v>62</v>
      </c>
      <c r="G65" s="9" t="s">
        <v>46</v>
      </c>
      <c r="H65" s="9" t="s">
        <v>47</v>
      </c>
      <c r="I65" s="6">
        <v>35</v>
      </c>
      <c r="J65" s="8">
        <v>14.75</v>
      </c>
      <c r="K65" s="6">
        <v>35</v>
      </c>
      <c r="L65" s="6">
        <v>35</v>
      </c>
      <c r="M65" s="6">
        <v>350</v>
      </c>
      <c r="N65" s="9" t="s">
        <v>42</v>
      </c>
      <c r="O65" s="9" t="s">
        <v>48</v>
      </c>
      <c r="P65" s="9" t="s">
        <v>41</v>
      </c>
      <c r="Q65" s="9" t="s">
        <v>484</v>
      </c>
      <c r="R65" s="9" t="s">
        <v>485</v>
      </c>
      <c r="S65" s="9" t="s">
        <v>486</v>
      </c>
      <c r="T65" s="9" t="s">
        <v>487</v>
      </c>
      <c r="U65" s="9" t="s">
        <v>39</v>
      </c>
      <c r="V65">
        <v>134565</v>
      </c>
      <c r="W65" s="1">
        <v>45883</v>
      </c>
      <c r="X65" s="9" t="s">
        <v>53</v>
      </c>
      <c r="Y65">
        <v>154696</v>
      </c>
      <c r="Z65" s="1">
        <v>45877</v>
      </c>
      <c r="AA65" s="1">
        <v>45877</v>
      </c>
      <c r="AB65" s="1">
        <v>45881</v>
      </c>
      <c r="AC65" s="1">
        <v>45881</v>
      </c>
      <c r="AD65" s="1">
        <v>45881</v>
      </c>
      <c r="AE65" s="1">
        <v>45881</v>
      </c>
      <c r="AF65" s="1">
        <v>45881</v>
      </c>
      <c r="AG65" s="1"/>
      <c r="AH65" s="1"/>
      <c r="AI65" s="1"/>
      <c r="AJ65" s="1"/>
      <c r="AK65" s="1"/>
      <c r="AL65" s="1"/>
      <c r="AM65" s="9" t="s">
        <v>619</v>
      </c>
      <c r="AN65" s="2">
        <f>+Pedidos_Pistachos[[#This Row],[CantidadPedida]]</f>
        <v>35</v>
      </c>
      <c r="AO65" s="2">
        <f>+Pedidos_Pistachos[[#This Row],[Cajas]]*2</f>
        <v>70</v>
      </c>
    </row>
    <row r="66" spans="1:41" x14ac:dyDescent="0.25">
      <c r="A66">
        <v>77687</v>
      </c>
      <c r="B66">
        <v>1</v>
      </c>
      <c r="C66" s="9" t="s">
        <v>40</v>
      </c>
      <c r="D66" s="9" t="s">
        <v>478</v>
      </c>
      <c r="E66" s="9" t="s">
        <v>61</v>
      </c>
      <c r="F66" s="9" t="s">
        <v>62</v>
      </c>
      <c r="G66" s="9" t="s">
        <v>46</v>
      </c>
      <c r="H66" s="9" t="s">
        <v>47</v>
      </c>
      <c r="I66" s="6">
        <v>140</v>
      </c>
      <c r="J66" s="8">
        <v>14.75</v>
      </c>
      <c r="K66" s="6">
        <v>140</v>
      </c>
      <c r="L66" s="6">
        <v>140</v>
      </c>
      <c r="M66" s="6">
        <v>1400</v>
      </c>
      <c r="N66" s="9" t="s">
        <v>42</v>
      </c>
      <c r="O66" s="9" t="s">
        <v>48</v>
      </c>
      <c r="P66" s="9" t="s">
        <v>41</v>
      </c>
      <c r="Q66" s="9" t="s">
        <v>479</v>
      </c>
      <c r="R66" s="9" t="s">
        <v>480</v>
      </c>
      <c r="S66" s="9" t="s">
        <v>481</v>
      </c>
      <c r="T66" s="9" t="s">
        <v>482</v>
      </c>
      <c r="U66" s="9" t="s">
        <v>39</v>
      </c>
      <c r="V66">
        <v>134566</v>
      </c>
      <c r="W66" s="1">
        <v>45883</v>
      </c>
      <c r="X66" s="9" t="s">
        <v>53</v>
      </c>
      <c r="Y66">
        <v>154695</v>
      </c>
      <c r="Z66" s="1">
        <v>45877</v>
      </c>
      <c r="AA66" s="1">
        <v>45877</v>
      </c>
      <c r="AB66" s="1">
        <v>45881</v>
      </c>
      <c r="AC66" s="1">
        <v>45881</v>
      </c>
      <c r="AD66" s="1">
        <v>45881</v>
      </c>
      <c r="AE66" s="1">
        <v>45881</v>
      </c>
      <c r="AF66" s="1">
        <v>45881</v>
      </c>
      <c r="AG66" s="1"/>
      <c r="AH66" s="1"/>
      <c r="AI66" s="1"/>
      <c r="AJ66" s="1"/>
      <c r="AK66" s="1"/>
      <c r="AL66" s="1"/>
      <c r="AM66" s="9" t="s">
        <v>619</v>
      </c>
      <c r="AN66" s="2">
        <f>+Pedidos_Pistachos[[#This Row],[CantidadPedida]]</f>
        <v>140</v>
      </c>
      <c r="AO66" s="2">
        <f>+Pedidos_Pistachos[[#This Row],[Cajas]]*2</f>
        <v>280</v>
      </c>
    </row>
    <row r="67" spans="1:41" x14ac:dyDescent="0.25">
      <c r="A67">
        <v>77686</v>
      </c>
      <c r="B67">
        <v>1</v>
      </c>
      <c r="C67" s="9" t="s">
        <v>40</v>
      </c>
      <c r="D67" s="9" t="s">
        <v>473</v>
      </c>
      <c r="E67" s="9" t="s">
        <v>61</v>
      </c>
      <c r="F67" s="9" t="s">
        <v>62</v>
      </c>
      <c r="G67" s="9" t="s">
        <v>46</v>
      </c>
      <c r="H67" s="9" t="s">
        <v>47</v>
      </c>
      <c r="I67" s="6">
        <v>70</v>
      </c>
      <c r="J67" s="8">
        <v>14.75</v>
      </c>
      <c r="K67" s="6">
        <v>70</v>
      </c>
      <c r="L67" s="6">
        <v>70</v>
      </c>
      <c r="M67" s="6">
        <v>700</v>
      </c>
      <c r="N67" s="9" t="s">
        <v>42</v>
      </c>
      <c r="O67" s="9" t="s">
        <v>48</v>
      </c>
      <c r="P67" s="9" t="s">
        <v>41</v>
      </c>
      <c r="Q67" s="9" t="s">
        <v>474</v>
      </c>
      <c r="R67" s="9" t="s">
        <v>475</v>
      </c>
      <c r="S67" s="9" t="s">
        <v>476</v>
      </c>
      <c r="T67" s="9" t="s">
        <v>477</v>
      </c>
      <c r="U67" s="9" t="s">
        <v>39</v>
      </c>
      <c r="V67">
        <v>134672</v>
      </c>
      <c r="W67" s="1">
        <v>45883</v>
      </c>
      <c r="X67" s="9" t="s">
        <v>53</v>
      </c>
      <c r="Y67">
        <v>154694</v>
      </c>
      <c r="Z67" s="1">
        <v>45877</v>
      </c>
      <c r="AA67" s="1">
        <v>45877</v>
      </c>
      <c r="AB67" s="1">
        <v>45883</v>
      </c>
      <c r="AC67" s="1">
        <v>45883</v>
      </c>
      <c r="AD67" s="1">
        <v>45883</v>
      </c>
      <c r="AE67" s="1">
        <v>45883</v>
      </c>
      <c r="AF67" s="1">
        <v>45883</v>
      </c>
      <c r="AG67" s="1"/>
      <c r="AH67" s="1"/>
      <c r="AI67" s="1"/>
      <c r="AJ67" s="1"/>
      <c r="AK67" s="1"/>
      <c r="AL67" s="1"/>
      <c r="AM67" s="9" t="s">
        <v>619</v>
      </c>
      <c r="AN67" s="2">
        <f>+Pedidos_Pistachos[[#This Row],[CantidadPedida]]</f>
        <v>70</v>
      </c>
      <c r="AO67" s="2">
        <f>+Pedidos_Pistachos[[#This Row],[Cajas]]*2</f>
        <v>140</v>
      </c>
    </row>
    <row r="68" spans="1:41" x14ac:dyDescent="0.25">
      <c r="A68">
        <v>77685</v>
      </c>
      <c r="B68">
        <v>1</v>
      </c>
      <c r="C68" s="9" t="s">
        <v>40</v>
      </c>
      <c r="D68" s="9" t="s">
        <v>468</v>
      </c>
      <c r="E68" s="9" t="s">
        <v>61</v>
      </c>
      <c r="F68" s="9" t="s">
        <v>62</v>
      </c>
      <c r="G68" s="9" t="s">
        <v>46</v>
      </c>
      <c r="H68" s="9" t="s">
        <v>47</v>
      </c>
      <c r="I68" s="6">
        <v>70</v>
      </c>
      <c r="J68" s="8">
        <v>14.75</v>
      </c>
      <c r="K68" s="6">
        <v>70</v>
      </c>
      <c r="L68" s="6">
        <v>70</v>
      </c>
      <c r="M68" s="6">
        <v>700</v>
      </c>
      <c r="N68" s="9" t="s">
        <v>42</v>
      </c>
      <c r="O68" s="9" t="s">
        <v>48</v>
      </c>
      <c r="P68" s="9" t="s">
        <v>41</v>
      </c>
      <c r="Q68" s="9" t="s">
        <v>469</v>
      </c>
      <c r="R68" s="9" t="s">
        <v>470</v>
      </c>
      <c r="S68" s="9" t="s">
        <v>471</v>
      </c>
      <c r="T68" s="9" t="s">
        <v>472</v>
      </c>
      <c r="U68" s="9" t="s">
        <v>39</v>
      </c>
      <c r="V68">
        <v>134673</v>
      </c>
      <c r="W68" s="1">
        <v>45883</v>
      </c>
      <c r="X68" s="9" t="s">
        <v>53</v>
      </c>
      <c r="Y68">
        <v>154693</v>
      </c>
      <c r="Z68" s="1">
        <v>45877</v>
      </c>
      <c r="AA68" s="1">
        <v>45877</v>
      </c>
      <c r="AB68" s="1">
        <v>45883</v>
      </c>
      <c r="AC68" s="1">
        <v>45883</v>
      </c>
      <c r="AD68" s="1">
        <v>45883</v>
      </c>
      <c r="AE68" s="1">
        <v>45883</v>
      </c>
      <c r="AF68" s="1">
        <v>45883</v>
      </c>
      <c r="AG68" s="1"/>
      <c r="AH68" s="1"/>
      <c r="AI68" s="1"/>
      <c r="AJ68" s="1"/>
      <c r="AK68" s="1"/>
      <c r="AL68" s="1"/>
      <c r="AM68" s="9" t="s">
        <v>619</v>
      </c>
      <c r="AN68" s="2">
        <f>+Pedidos_Pistachos[[#This Row],[CantidadPedida]]</f>
        <v>70</v>
      </c>
      <c r="AO68" s="2">
        <f>+Pedidos_Pistachos[[#This Row],[Cajas]]*2</f>
        <v>140</v>
      </c>
    </row>
    <row r="69" spans="1:41" x14ac:dyDescent="0.25">
      <c r="A69">
        <v>77684</v>
      </c>
      <c r="B69">
        <v>2</v>
      </c>
      <c r="C69" s="9" t="s">
        <v>40</v>
      </c>
      <c r="D69" s="9" t="s">
        <v>459</v>
      </c>
      <c r="E69" s="9" t="s">
        <v>61</v>
      </c>
      <c r="F69" s="9" t="s">
        <v>62</v>
      </c>
      <c r="G69" s="9" t="s">
        <v>46</v>
      </c>
      <c r="H69" s="9" t="s">
        <v>47</v>
      </c>
      <c r="I69" s="6">
        <v>70</v>
      </c>
      <c r="J69" s="8">
        <v>14.75</v>
      </c>
      <c r="K69" s="6">
        <v>70</v>
      </c>
      <c r="L69" s="6">
        <v>70</v>
      </c>
      <c r="M69" s="6">
        <v>700</v>
      </c>
      <c r="N69" s="9" t="s">
        <v>42</v>
      </c>
      <c r="O69" s="9" t="s">
        <v>48</v>
      </c>
      <c r="P69" s="9" t="s">
        <v>41</v>
      </c>
      <c r="Q69" s="9" t="s">
        <v>464</v>
      </c>
      <c r="R69" s="9" t="s">
        <v>465</v>
      </c>
      <c r="S69" s="9" t="s">
        <v>466</v>
      </c>
      <c r="T69" s="9" t="s">
        <v>467</v>
      </c>
      <c r="U69" s="9" t="s">
        <v>39</v>
      </c>
      <c r="V69">
        <v>134674</v>
      </c>
      <c r="W69" s="1">
        <v>45883</v>
      </c>
      <c r="X69" s="9" t="s">
        <v>53</v>
      </c>
      <c r="Y69">
        <v>154692</v>
      </c>
      <c r="Z69" s="1">
        <v>45877</v>
      </c>
      <c r="AA69" s="1">
        <v>45877</v>
      </c>
      <c r="AB69" s="1">
        <v>45883</v>
      </c>
      <c r="AC69" s="1">
        <v>45883</v>
      </c>
      <c r="AD69" s="1">
        <v>45883</v>
      </c>
      <c r="AE69" s="1">
        <v>45883</v>
      </c>
      <c r="AF69" s="1">
        <v>45883</v>
      </c>
      <c r="AG69" s="1"/>
      <c r="AH69" s="1"/>
      <c r="AI69" s="1"/>
      <c r="AJ69" s="1"/>
      <c r="AK69" s="1"/>
      <c r="AL69" s="1"/>
      <c r="AM69" s="9" t="s">
        <v>619</v>
      </c>
      <c r="AN69" s="2">
        <f>+Pedidos_Pistachos[[#This Row],[CantidadPedida]]</f>
        <v>70</v>
      </c>
      <c r="AO69" s="2">
        <f>+Pedidos_Pistachos[[#This Row],[Cajas]]*2</f>
        <v>140</v>
      </c>
    </row>
    <row r="70" spans="1:41" x14ac:dyDescent="0.25">
      <c r="A70">
        <v>77684</v>
      </c>
      <c r="B70">
        <v>1</v>
      </c>
      <c r="C70" s="9" t="s">
        <v>40</v>
      </c>
      <c r="D70" s="9" t="s">
        <v>459</v>
      </c>
      <c r="E70" s="9" t="s">
        <v>55</v>
      </c>
      <c r="F70" s="9" t="s">
        <v>56</v>
      </c>
      <c r="G70" s="9" t="s">
        <v>46</v>
      </c>
      <c r="H70" s="9" t="s">
        <v>47</v>
      </c>
      <c r="I70" s="6">
        <v>50</v>
      </c>
      <c r="J70" s="8">
        <v>26.3</v>
      </c>
      <c r="K70" s="6">
        <v>50</v>
      </c>
      <c r="L70" s="6">
        <v>50</v>
      </c>
      <c r="M70" s="6">
        <v>500</v>
      </c>
      <c r="N70" s="9" t="s">
        <v>42</v>
      </c>
      <c r="O70" s="9" t="s">
        <v>48</v>
      </c>
      <c r="P70" s="9" t="s">
        <v>41</v>
      </c>
      <c r="Q70" s="9" t="s">
        <v>460</v>
      </c>
      <c r="R70" s="9" t="s">
        <v>461</v>
      </c>
      <c r="S70" s="9" t="s">
        <v>462</v>
      </c>
      <c r="T70" s="9" t="s">
        <v>463</v>
      </c>
      <c r="U70" s="9" t="s">
        <v>39</v>
      </c>
      <c r="V70">
        <v>134675</v>
      </c>
      <c r="W70" s="1">
        <v>45883</v>
      </c>
      <c r="X70" s="9" t="s">
        <v>53</v>
      </c>
      <c r="Y70">
        <v>154691</v>
      </c>
      <c r="Z70" s="1">
        <v>45877</v>
      </c>
      <c r="AA70" s="1">
        <v>45877</v>
      </c>
      <c r="AB70" s="1">
        <v>45883</v>
      </c>
      <c r="AC70" s="1">
        <v>45883</v>
      </c>
      <c r="AD70" s="1">
        <v>45883</v>
      </c>
      <c r="AE70" s="1">
        <v>45883</v>
      </c>
      <c r="AF70" s="1">
        <v>45883</v>
      </c>
      <c r="AG70" s="1"/>
      <c r="AH70" s="1"/>
      <c r="AI70" s="1"/>
      <c r="AJ70" s="1"/>
      <c r="AK70" s="1"/>
      <c r="AL70" s="1"/>
      <c r="AM70" s="9" t="s">
        <v>619</v>
      </c>
      <c r="AN70" s="2">
        <f>+Pedidos_Pistachos[[#This Row],[CantidadPedida]]</f>
        <v>50</v>
      </c>
      <c r="AO70" s="2">
        <f>+Pedidos_Pistachos[[#This Row],[Cajas]]*2</f>
        <v>100</v>
      </c>
    </row>
    <row r="71" spans="1:41" x14ac:dyDescent="0.25">
      <c r="A71">
        <v>77683</v>
      </c>
      <c r="B71">
        <v>1</v>
      </c>
      <c r="C71" s="9" t="s">
        <v>40</v>
      </c>
      <c r="D71" s="9" t="s">
        <v>454</v>
      </c>
      <c r="E71" s="9" t="s">
        <v>61</v>
      </c>
      <c r="F71" s="9" t="s">
        <v>62</v>
      </c>
      <c r="G71" s="9" t="s">
        <v>46</v>
      </c>
      <c r="H71" s="9" t="s">
        <v>47</v>
      </c>
      <c r="I71" s="6">
        <v>140</v>
      </c>
      <c r="J71" s="8">
        <v>14.75</v>
      </c>
      <c r="K71" s="6">
        <v>140</v>
      </c>
      <c r="L71" s="6">
        <v>140</v>
      </c>
      <c r="M71" s="6">
        <v>1400</v>
      </c>
      <c r="N71" s="9" t="s">
        <v>42</v>
      </c>
      <c r="O71" s="9" t="s">
        <v>48</v>
      </c>
      <c r="P71" s="9" t="s">
        <v>41</v>
      </c>
      <c r="Q71" s="9" t="s">
        <v>455</v>
      </c>
      <c r="R71" s="9" t="s">
        <v>456</v>
      </c>
      <c r="S71" s="9" t="s">
        <v>457</v>
      </c>
      <c r="T71" s="9" t="s">
        <v>458</v>
      </c>
      <c r="U71" s="9" t="s">
        <v>39</v>
      </c>
      <c r="V71">
        <v>134676</v>
      </c>
      <c r="W71" s="1">
        <v>45883</v>
      </c>
      <c r="X71" s="9" t="s">
        <v>53</v>
      </c>
      <c r="Y71">
        <v>154690</v>
      </c>
      <c r="Z71" s="1">
        <v>45877</v>
      </c>
      <c r="AA71" s="1">
        <v>45877</v>
      </c>
      <c r="AB71" s="1">
        <v>45883</v>
      </c>
      <c r="AC71" s="1">
        <v>45883</v>
      </c>
      <c r="AD71" s="1">
        <v>45883</v>
      </c>
      <c r="AE71" s="1">
        <v>45883</v>
      </c>
      <c r="AF71" s="1">
        <v>45883</v>
      </c>
      <c r="AG71" s="1"/>
      <c r="AH71" s="1"/>
      <c r="AI71" s="1"/>
      <c r="AJ71" s="1"/>
      <c r="AK71" s="1"/>
      <c r="AL71" s="1"/>
      <c r="AM71" s="9" t="s">
        <v>619</v>
      </c>
      <c r="AN71" s="2">
        <f>+Pedidos_Pistachos[[#This Row],[CantidadPedida]]</f>
        <v>140</v>
      </c>
      <c r="AO71" s="2">
        <f>+Pedidos_Pistachos[[#This Row],[Cajas]]*2</f>
        <v>280</v>
      </c>
    </row>
    <row r="72" spans="1:41" x14ac:dyDescent="0.25">
      <c r="A72">
        <v>77682</v>
      </c>
      <c r="B72">
        <v>1</v>
      </c>
      <c r="C72" s="9" t="s">
        <v>40</v>
      </c>
      <c r="D72" s="9" t="s">
        <v>449</v>
      </c>
      <c r="E72" s="9" t="s">
        <v>61</v>
      </c>
      <c r="F72" s="9" t="s">
        <v>62</v>
      </c>
      <c r="G72" s="9" t="s">
        <v>46</v>
      </c>
      <c r="H72" s="9" t="s">
        <v>47</v>
      </c>
      <c r="I72" s="6">
        <v>10</v>
      </c>
      <c r="J72" s="8">
        <v>14.75</v>
      </c>
      <c r="K72" s="6">
        <v>10</v>
      </c>
      <c r="L72" s="6">
        <v>10</v>
      </c>
      <c r="M72" s="6">
        <v>100</v>
      </c>
      <c r="N72" s="9" t="s">
        <v>42</v>
      </c>
      <c r="O72" s="9" t="s">
        <v>48</v>
      </c>
      <c r="P72" s="9" t="s">
        <v>41</v>
      </c>
      <c r="Q72" s="9" t="s">
        <v>450</v>
      </c>
      <c r="R72" s="9" t="s">
        <v>451</v>
      </c>
      <c r="S72" s="9" t="s">
        <v>452</v>
      </c>
      <c r="T72" s="9" t="s">
        <v>453</v>
      </c>
      <c r="U72" s="9" t="s">
        <v>39</v>
      </c>
      <c r="V72">
        <v>134677</v>
      </c>
      <c r="W72" s="1">
        <v>45883</v>
      </c>
      <c r="X72" s="9" t="s">
        <v>53</v>
      </c>
      <c r="Y72">
        <v>154689</v>
      </c>
      <c r="Z72" s="1">
        <v>45877</v>
      </c>
      <c r="AA72" s="1">
        <v>45877</v>
      </c>
      <c r="AB72" s="1">
        <v>45883</v>
      </c>
      <c r="AC72" s="1">
        <v>45883</v>
      </c>
      <c r="AD72" s="1">
        <v>45883</v>
      </c>
      <c r="AE72" s="1">
        <v>45883</v>
      </c>
      <c r="AF72" s="1">
        <v>45883</v>
      </c>
      <c r="AG72" s="1"/>
      <c r="AH72" s="1"/>
      <c r="AI72" s="1"/>
      <c r="AJ72" s="1"/>
      <c r="AK72" s="1"/>
      <c r="AL72" s="1"/>
      <c r="AM72" s="9" t="s">
        <v>619</v>
      </c>
      <c r="AN72" s="2">
        <f>+Pedidos_Pistachos[[#This Row],[CantidadPedida]]</f>
        <v>10</v>
      </c>
      <c r="AO72" s="2">
        <f>+Pedidos_Pistachos[[#This Row],[Cajas]]*2</f>
        <v>20</v>
      </c>
    </row>
    <row r="73" spans="1:41" x14ac:dyDescent="0.25">
      <c r="A73">
        <v>77681</v>
      </c>
      <c r="B73">
        <v>1</v>
      </c>
      <c r="C73" s="9" t="s">
        <v>40</v>
      </c>
      <c r="D73" s="9" t="s">
        <v>444</v>
      </c>
      <c r="E73" s="9" t="s">
        <v>61</v>
      </c>
      <c r="F73" s="9" t="s">
        <v>62</v>
      </c>
      <c r="G73" s="9" t="s">
        <v>46</v>
      </c>
      <c r="H73" s="9" t="s">
        <v>47</v>
      </c>
      <c r="I73" s="6">
        <v>70</v>
      </c>
      <c r="J73" s="8">
        <v>14.75</v>
      </c>
      <c r="K73" s="6">
        <v>70</v>
      </c>
      <c r="L73" s="6">
        <v>70</v>
      </c>
      <c r="M73" s="6">
        <v>700</v>
      </c>
      <c r="N73" s="9" t="s">
        <v>42</v>
      </c>
      <c r="O73" s="9" t="s">
        <v>48</v>
      </c>
      <c r="P73" s="9" t="s">
        <v>41</v>
      </c>
      <c r="Q73" s="9" t="s">
        <v>445</v>
      </c>
      <c r="R73" s="9" t="s">
        <v>446</v>
      </c>
      <c r="S73" s="9" t="s">
        <v>447</v>
      </c>
      <c r="T73" s="9" t="s">
        <v>448</v>
      </c>
      <c r="U73" s="9" t="s">
        <v>39</v>
      </c>
      <c r="V73">
        <v>134678</v>
      </c>
      <c r="W73" s="1">
        <v>45883</v>
      </c>
      <c r="X73" s="9" t="s">
        <v>53</v>
      </c>
      <c r="Y73">
        <v>154688</v>
      </c>
      <c r="Z73" s="1">
        <v>45877</v>
      </c>
      <c r="AA73" s="1">
        <v>45877</v>
      </c>
      <c r="AB73" s="1">
        <v>45883</v>
      </c>
      <c r="AC73" s="1">
        <v>45883</v>
      </c>
      <c r="AD73" s="1">
        <v>45883</v>
      </c>
      <c r="AE73" s="1">
        <v>45883</v>
      </c>
      <c r="AF73" s="1">
        <v>45883</v>
      </c>
      <c r="AG73" s="1"/>
      <c r="AH73" s="1"/>
      <c r="AI73" s="1"/>
      <c r="AJ73" s="1"/>
      <c r="AK73" s="1"/>
      <c r="AL73" s="1"/>
      <c r="AM73" s="9" t="s">
        <v>619</v>
      </c>
      <c r="AN73" s="2">
        <f>+Pedidos_Pistachos[[#This Row],[CantidadPedida]]</f>
        <v>70</v>
      </c>
      <c r="AO73" s="2">
        <f>+Pedidos_Pistachos[[#This Row],[Cajas]]*2</f>
        <v>140</v>
      </c>
    </row>
    <row r="74" spans="1:41" x14ac:dyDescent="0.25">
      <c r="A74">
        <v>77680</v>
      </c>
      <c r="B74">
        <v>1</v>
      </c>
      <c r="C74" s="9" t="s">
        <v>40</v>
      </c>
      <c r="D74" s="9" t="s">
        <v>439</v>
      </c>
      <c r="E74" s="9" t="s">
        <v>61</v>
      </c>
      <c r="F74" s="9" t="s">
        <v>62</v>
      </c>
      <c r="G74" s="9" t="s">
        <v>46</v>
      </c>
      <c r="H74" s="9" t="s">
        <v>47</v>
      </c>
      <c r="I74" s="6">
        <v>70</v>
      </c>
      <c r="J74" s="8">
        <v>14.75</v>
      </c>
      <c r="K74" s="6">
        <v>70</v>
      </c>
      <c r="L74" s="6">
        <v>70</v>
      </c>
      <c r="M74" s="6">
        <v>700</v>
      </c>
      <c r="N74" s="9" t="s">
        <v>42</v>
      </c>
      <c r="O74" s="9" t="s">
        <v>48</v>
      </c>
      <c r="P74" s="9" t="s">
        <v>41</v>
      </c>
      <c r="Q74" s="9" t="s">
        <v>440</v>
      </c>
      <c r="R74" s="9" t="s">
        <v>441</v>
      </c>
      <c r="S74" s="9" t="s">
        <v>442</v>
      </c>
      <c r="T74" s="9" t="s">
        <v>443</v>
      </c>
      <c r="U74" s="9" t="s">
        <v>39</v>
      </c>
      <c r="V74">
        <v>134679</v>
      </c>
      <c r="W74" s="1">
        <v>45883</v>
      </c>
      <c r="X74" s="9" t="s">
        <v>53</v>
      </c>
      <c r="Y74">
        <v>154687</v>
      </c>
      <c r="Z74" s="1">
        <v>45877</v>
      </c>
      <c r="AA74" s="1">
        <v>45877</v>
      </c>
      <c r="AB74" s="1">
        <v>45883</v>
      </c>
      <c r="AC74" s="1">
        <v>45883</v>
      </c>
      <c r="AD74" s="1">
        <v>45883</v>
      </c>
      <c r="AE74" s="1">
        <v>45883</v>
      </c>
      <c r="AF74" s="1">
        <v>45883</v>
      </c>
      <c r="AG74" s="1"/>
      <c r="AH74" s="1"/>
      <c r="AI74" s="1"/>
      <c r="AJ74" s="1"/>
      <c r="AK74" s="1"/>
      <c r="AL74" s="1"/>
      <c r="AM74" s="9" t="s">
        <v>619</v>
      </c>
      <c r="AN74" s="2">
        <f>+Pedidos_Pistachos[[#This Row],[CantidadPedida]]</f>
        <v>70</v>
      </c>
      <c r="AO74" s="2">
        <f>+Pedidos_Pistachos[[#This Row],[Cajas]]*2</f>
        <v>140</v>
      </c>
    </row>
    <row r="75" spans="1:41" x14ac:dyDescent="0.25">
      <c r="A75">
        <v>77679</v>
      </c>
      <c r="B75">
        <v>1</v>
      </c>
      <c r="C75" s="9" t="s">
        <v>40</v>
      </c>
      <c r="D75" s="9" t="s">
        <v>434</v>
      </c>
      <c r="E75" s="9" t="s">
        <v>61</v>
      </c>
      <c r="F75" s="9" t="s">
        <v>62</v>
      </c>
      <c r="G75" s="9" t="s">
        <v>46</v>
      </c>
      <c r="H75" s="9" t="s">
        <v>47</v>
      </c>
      <c r="I75" s="6">
        <v>70</v>
      </c>
      <c r="J75" s="8">
        <v>14.75</v>
      </c>
      <c r="K75" s="6">
        <v>70</v>
      </c>
      <c r="L75" s="6">
        <v>70</v>
      </c>
      <c r="M75" s="6">
        <v>700</v>
      </c>
      <c r="N75" s="9" t="s">
        <v>42</v>
      </c>
      <c r="O75" s="9" t="s">
        <v>48</v>
      </c>
      <c r="P75" s="9" t="s">
        <v>41</v>
      </c>
      <c r="Q75" s="9" t="s">
        <v>435</v>
      </c>
      <c r="R75" s="9" t="s">
        <v>436</v>
      </c>
      <c r="S75" s="9" t="s">
        <v>437</v>
      </c>
      <c r="T75" s="9" t="s">
        <v>438</v>
      </c>
      <c r="U75" s="9" t="s">
        <v>39</v>
      </c>
      <c r="V75">
        <v>134680</v>
      </c>
      <c r="W75" s="1">
        <v>45883</v>
      </c>
      <c r="X75" s="9" t="s">
        <v>53</v>
      </c>
      <c r="Y75">
        <v>154686</v>
      </c>
      <c r="Z75" s="1">
        <v>45877</v>
      </c>
      <c r="AA75" s="1">
        <v>45877</v>
      </c>
      <c r="AB75" s="1">
        <v>45883</v>
      </c>
      <c r="AC75" s="1">
        <v>45883</v>
      </c>
      <c r="AD75" s="1">
        <v>45883</v>
      </c>
      <c r="AE75" s="1">
        <v>45883</v>
      </c>
      <c r="AF75" s="1">
        <v>45883</v>
      </c>
      <c r="AG75" s="1"/>
      <c r="AH75" s="1"/>
      <c r="AI75" s="1"/>
      <c r="AJ75" s="1"/>
      <c r="AK75" s="1"/>
      <c r="AL75" s="1"/>
      <c r="AM75" s="9" t="s">
        <v>619</v>
      </c>
      <c r="AN75" s="2">
        <f>+Pedidos_Pistachos[[#This Row],[CantidadPedida]]</f>
        <v>70</v>
      </c>
      <c r="AO75" s="2">
        <f>+Pedidos_Pistachos[[#This Row],[Cajas]]*2</f>
        <v>140</v>
      </c>
    </row>
    <row r="76" spans="1:41" x14ac:dyDescent="0.25">
      <c r="A76">
        <v>77678</v>
      </c>
      <c r="B76">
        <v>1</v>
      </c>
      <c r="C76" s="9" t="s">
        <v>40</v>
      </c>
      <c r="D76" s="9" t="s">
        <v>429</v>
      </c>
      <c r="E76" s="9" t="s">
        <v>61</v>
      </c>
      <c r="F76" s="9" t="s">
        <v>62</v>
      </c>
      <c r="G76" s="9" t="s">
        <v>46</v>
      </c>
      <c r="H76" s="9" t="s">
        <v>47</v>
      </c>
      <c r="I76" s="6">
        <v>70</v>
      </c>
      <c r="J76" s="8">
        <v>14.75</v>
      </c>
      <c r="K76" s="6">
        <v>70</v>
      </c>
      <c r="L76" s="6">
        <v>70</v>
      </c>
      <c r="M76" s="6">
        <v>700</v>
      </c>
      <c r="N76" s="9" t="s">
        <v>42</v>
      </c>
      <c r="O76" s="9" t="s">
        <v>48</v>
      </c>
      <c r="P76" s="9" t="s">
        <v>41</v>
      </c>
      <c r="Q76" s="9" t="s">
        <v>430</v>
      </c>
      <c r="R76" s="9" t="s">
        <v>431</v>
      </c>
      <c r="S76" s="9" t="s">
        <v>432</v>
      </c>
      <c r="T76" s="9" t="s">
        <v>433</v>
      </c>
      <c r="U76" s="9" t="s">
        <v>39</v>
      </c>
      <c r="V76">
        <v>134681</v>
      </c>
      <c r="W76" s="1">
        <v>45883</v>
      </c>
      <c r="X76" s="9" t="s">
        <v>53</v>
      </c>
      <c r="Y76">
        <v>154685</v>
      </c>
      <c r="Z76" s="1">
        <v>45877</v>
      </c>
      <c r="AA76" s="1">
        <v>45877</v>
      </c>
      <c r="AB76" s="1">
        <v>45883</v>
      </c>
      <c r="AC76" s="1">
        <v>45883</v>
      </c>
      <c r="AD76" s="1">
        <v>45883</v>
      </c>
      <c r="AE76" s="1">
        <v>45883</v>
      </c>
      <c r="AF76" s="1">
        <v>45883</v>
      </c>
      <c r="AG76" s="1"/>
      <c r="AH76" s="1"/>
      <c r="AI76" s="1"/>
      <c r="AJ76" s="1"/>
      <c r="AK76" s="1"/>
      <c r="AL76" s="1"/>
      <c r="AM76" s="9" t="s">
        <v>619</v>
      </c>
      <c r="AN76" s="2">
        <f>+Pedidos_Pistachos[[#This Row],[CantidadPedida]]</f>
        <v>70</v>
      </c>
      <c r="AO76" s="2">
        <f>+Pedidos_Pistachos[[#This Row],[Cajas]]*2</f>
        <v>140</v>
      </c>
    </row>
    <row r="77" spans="1:41" x14ac:dyDescent="0.25">
      <c r="A77">
        <v>77677</v>
      </c>
      <c r="B77">
        <v>1</v>
      </c>
      <c r="C77" s="9" t="s">
        <v>40</v>
      </c>
      <c r="D77" s="9" t="s">
        <v>424</v>
      </c>
      <c r="E77" s="9" t="s">
        <v>61</v>
      </c>
      <c r="F77" s="9" t="s">
        <v>62</v>
      </c>
      <c r="G77" s="9" t="s">
        <v>46</v>
      </c>
      <c r="H77" s="9" t="s">
        <v>47</v>
      </c>
      <c r="I77" s="6">
        <v>70</v>
      </c>
      <c r="J77" s="8">
        <v>17.75</v>
      </c>
      <c r="K77" s="6">
        <v>70</v>
      </c>
      <c r="L77" s="6">
        <v>70</v>
      </c>
      <c r="M77" s="6">
        <v>700</v>
      </c>
      <c r="N77" s="9" t="s">
        <v>42</v>
      </c>
      <c r="O77" s="9" t="s">
        <v>48</v>
      </c>
      <c r="P77" s="9" t="s">
        <v>41</v>
      </c>
      <c r="Q77" s="9" t="s">
        <v>425</v>
      </c>
      <c r="R77" s="9" t="s">
        <v>426</v>
      </c>
      <c r="S77" s="9" t="s">
        <v>427</v>
      </c>
      <c r="T77" s="9" t="s">
        <v>428</v>
      </c>
      <c r="U77" s="9" t="s">
        <v>39</v>
      </c>
      <c r="V77">
        <v>134682</v>
      </c>
      <c r="W77" s="1">
        <v>45883</v>
      </c>
      <c r="X77" s="9" t="s">
        <v>53</v>
      </c>
      <c r="Y77">
        <v>154684</v>
      </c>
      <c r="Z77" s="1">
        <v>45877</v>
      </c>
      <c r="AA77" s="1">
        <v>45877</v>
      </c>
      <c r="AB77" s="1">
        <v>45883</v>
      </c>
      <c r="AC77" s="1">
        <v>45883</v>
      </c>
      <c r="AD77" s="1">
        <v>45883</v>
      </c>
      <c r="AE77" s="1">
        <v>45883</v>
      </c>
      <c r="AF77" s="1">
        <v>45883</v>
      </c>
      <c r="AG77" s="1"/>
      <c r="AH77" s="1"/>
      <c r="AI77" s="1"/>
      <c r="AJ77" s="1"/>
      <c r="AK77" s="1"/>
      <c r="AL77" s="1"/>
      <c r="AM77" s="9" t="s">
        <v>619</v>
      </c>
      <c r="AN77" s="2">
        <f>+Pedidos_Pistachos[[#This Row],[CantidadPedida]]</f>
        <v>70</v>
      </c>
      <c r="AO77" s="2">
        <f>+Pedidos_Pistachos[[#This Row],[Cajas]]*2</f>
        <v>140</v>
      </c>
    </row>
    <row r="78" spans="1:41" x14ac:dyDescent="0.25">
      <c r="A78">
        <v>77669</v>
      </c>
      <c r="B78">
        <v>2</v>
      </c>
      <c r="C78" s="9" t="s">
        <v>40</v>
      </c>
      <c r="D78" s="9" t="s">
        <v>272</v>
      </c>
      <c r="E78" s="9" t="s">
        <v>61</v>
      </c>
      <c r="F78" s="9" t="s">
        <v>62</v>
      </c>
      <c r="G78" s="9" t="s">
        <v>46</v>
      </c>
      <c r="H78" s="9" t="s">
        <v>47</v>
      </c>
      <c r="I78" s="6">
        <v>350</v>
      </c>
      <c r="J78" s="8">
        <v>14.75</v>
      </c>
      <c r="K78" s="6">
        <v>350</v>
      </c>
      <c r="L78" s="6">
        <v>350</v>
      </c>
      <c r="M78" s="6">
        <v>3500</v>
      </c>
      <c r="N78" s="9" t="s">
        <v>42</v>
      </c>
      <c r="O78" s="9" t="s">
        <v>48</v>
      </c>
      <c r="P78" s="9" t="s">
        <v>41</v>
      </c>
      <c r="Q78" s="9" t="s">
        <v>420</v>
      </c>
      <c r="R78" s="9" t="s">
        <v>421</v>
      </c>
      <c r="S78" s="9" t="s">
        <v>422</v>
      </c>
      <c r="T78" s="9" t="s">
        <v>423</v>
      </c>
      <c r="U78" s="9" t="s">
        <v>39</v>
      </c>
      <c r="V78">
        <v>134683</v>
      </c>
      <c r="W78" s="1">
        <v>45883</v>
      </c>
      <c r="X78" s="9" t="s">
        <v>53</v>
      </c>
      <c r="Y78">
        <v>154661</v>
      </c>
      <c r="Z78" s="1">
        <v>45877</v>
      </c>
      <c r="AA78" s="1">
        <v>45877</v>
      </c>
      <c r="AB78" s="1">
        <v>45883</v>
      </c>
      <c r="AC78" s="1">
        <v>45883</v>
      </c>
      <c r="AD78" s="1">
        <v>45883</v>
      </c>
      <c r="AE78" s="1">
        <v>45883</v>
      </c>
      <c r="AF78" s="1">
        <v>45883</v>
      </c>
      <c r="AG78" s="1"/>
      <c r="AH78" s="1"/>
      <c r="AI78" s="1"/>
      <c r="AJ78" s="1"/>
      <c r="AK78" s="1"/>
      <c r="AL78" s="1"/>
      <c r="AM78" s="9" t="s">
        <v>619</v>
      </c>
      <c r="AN78" s="2">
        <f>+Pedidos_Pistachos[[#This Row],[CantidadPedida]]</f>
        <v>350</v>
      </c>
      <c r="AO78" s="2">
        <f>+Pedidos_Pistachos[[#This Row],[Cajas]]*2</f>
        <v>700</v>
      </c>
    </row>
    <row r="79" spans="1:41" x14ac:dyDescent="0.25">
      <c r="A79">
        <v>77669</v>
      </c>
      <c r="B79">
        <v>1</v>
      </c>
      <c r="C79" s="9" t="s">
        <v>40</v>
      </c>
      <c r="D79" s="9" t="s">
        <v>272</v>
      </c>
      <c r="E79" s="9" t="s">
        <v>55</v>
      </c>
      <c r="F79" s="9" t="s">
        <v>56</v>
      </c>
      <c r="G79" s="9" t="s">
        <v>46</v>
      </c>
      <c r="H79" s="9" t="s">
        <v>47</v>
      </c>
      <c r="I79" s="6">
        <v>50</v>
      </c>
      <c r="J79" s="8">
        <v>26.3</v>
      </c>
      <c r="K79" s="6">
        <v>50</v>
      </c>
      <c r="L79" s="6">
        <v>50</v>
      </c>
      <c r="M79" s="6">
        <v>500</v>
      </c>
      <c r="N79" s="9" t="s">
        <v>42</v>
      </c>
      <c r="O79" s="9" t="s">
        <v>48</v>
      </c>
      <c r="P79" s="9" t="s">
        <v>41</v>
      </c>
      <c r="Q79" s="9" t="s">
        <v>416</v>
      </c>
      <c r="R79" s="9" t="s">
        <v>417</v>
      </c>
      <c r="S79" s="9" t="s">
        <v>418</v>
      </c>
      <c r="T79" s="9" t="s">
        <v>419</v>
      </c>
      <c r="U79" s="9" t="s">
        <v>39</v>
      </c>
      <c r="V79">
        <v>134684</v>
      </c>
      <c r="W79" s="1">
        <v>45883</v>
      </c>
      <c r="X79" s="9" t="s">
        <v>53</v>
      </c>
      <c r="Y79">
        <v>154660</v>
      </c>
      <c r="Z79" s="1">
        <v>45877</v>
      </c>
      <c r="AA79" s="1">
        <v>45877</v>
      </c>
      <c r="AB79" s="1">
        <v>45883</v>
      </c>
      <c r="AC79" s="1">
        <v>45883</v>
      </c>
      <c r="AD79" s="1">
        <v>45883</v>
      </c>
      <c r="AE79" s="1">
        <v>45883</v>
      </c>
      <c r="AF79" s="1">
        <v>45883</v>
      </c>
      <c r="AG79" s="1"/>
      <c r="AH79" s="1"/>
      <c r="AI79" s="1"/>
      <c r="AJ79" s="1"/>
      <c r="AK79" s="1"/>
      <c r="AL79" s="1"/>
      <c r="AM79" s="9" t="s">
        <v>619</v>
      </c>
      <c r="AN79" s="2">
        <f>+Pedidos_Pistachos[[#This Row],[CantidadPedida]]</f>
        <v>50</v>
      </c>
      <c r="AO79" s="2">
        <f>+Pedidos_Pistachos[[#This Row],[Cajas]]*2</f>
        <v>100</v>
      </c>
    </row>
    <row r="80" spans="1:41" x14ac:dyDescent="0.25">
      <c r="A80">
        <v>77668</v>
      </c>
      <c r="B80">
        <v>1</v>
      </c>
      <c r="C80" s="9" t="s">
        <v>40</v>
      </c>
      <c r="D80" s="9" t="s">
        <v>407</v>
      </c>
      <c r="E80" s="9" t="s">
        <v>55</v>
      </c>
      <c r="F80" s="9" t="s">
        <v>56</v>
      </c>
      <c r="G80" s="9" t="s">
        <v>46</v>
      </c>
      <c r="H80" s="9" t="s">
        <v>47</v>
      </c>
      <c r="I80" s="6">
        <v>210</v>
      </c>
      <c r="J80" s="8">
        <v>26.3</v>
      </c>
      <c r="K80" s="6">
        <v>210</v>
      </c>
      <c r="L80" s="6">
        <v>210</v>
      </c>
      <c r="M80" s="6">
        <v>2100</v>
      </c>
      <c r="N80" s="9" t="s">
        <v>42</v>
      </c>
      <c r="O80" s="9" t="s">
        <v>48</v>
      </c>
      <c r="P80" s="9" t="s">
        <v>41</v>
      </c>
      <c r="Q80" s="9" t="s">
        <v>408</v>
      </c>
      <c r="R80" s="9" t="s">
        <v>409</v>
      </c>
      <c r="S80" s="9" t="s">
        <v>410</v>
      </c>
      <c r="T80" s="9" t="s">
        <v>411</v>
      </c>
      <c r="U80" s="9" t="s">
        <v>39</v>
      </c>
      <c r="V80">
        <v>134686</v>
      </c>
      <c r="W80" s="1">
        <v>45883</v>
      </c>
      <c r="X80" s="9" t="s">
        <v>53</v>
      </c>
      <c r="Y80">
        <v>154656</v>
      </c>
      <c r="Z80" s="1">
        <v>45877</v>
      </c>
      <c r="AA80" s="1">
        <v>45877</v>
      </c>
      <c r="AB80" s="1">
        <v>45883</v>
      </c>
      <c r="AC80" s="1">
        <v>45883</v>
      </c>
      <c r="AD80" s="1">
        <v>45883</v>
      </c>
      <c r="AE80" s="1">
        <v>45883</v>
      </c>
      <c r="AF80" s="1">
        <v>45883</v>
      </c>
      <c r="AG80" s="1"/>
      <c r="AH80" s="1"/>
      <c r="AI80" s="1"/>
      <c r="AJ80" s="1"/>
      <c r="AK80" s="1"/>
      <c r="AL80" s="1"/>
      <c r="AM80" s="9" t="s">
        <v>619</v>
      </c>
      <c r="AN80" s="2">
        <f>+Pedidos_Pistachos[[#This Row],[CantidadPedida]]</f>
        <v>210</v>
      </c>
      <c r="AO80" s="2">
        <f>+Pedidos_Pistachos[[#This Row],[Cajas]]*2</f>
        <v>420</v>
      </c>
    </row>
    <row r="81" spans="1:41" x14ac:dyDescent="0.25">
      <c r="A81">
        <v>77668</v>
      </c>
      <c r="B81">
        <v>2</v>
      </c>
      <c r="C81" s="9" t="s">
        <v>40</v>
      </c>
      <c r="D81" s="9" t="s">
        <v>407</v>
      </c>
      <c r="E81" s="9" t="s">
        <v>218</v>
      </c>
      <c r="F81" s="9" t="s">
        <v>219</v>
      </c>
      <c r="G81" s="9" t="s">
        <v>46</v>
      </c>
      <c r="H81" s="9" t="s">
        <v>47</v>
      </c>
      <c r="I81" s="6">
        <v>1920</v>
      </c>
      <c r="J81" s="8">
        <v>26.9</v>
      </c>
      <c r="K81" s="6">
        <v>1920</v>
      </c>
      <c r="L81" s="6">
        <v>1920</v>
      </c>
      <c r="M81" s="6">
        <v>19200</v>
      </c>
      <c r="N81" s="9" t="s">
        <v>42</v>
      </c>
      <c r="O81" s="9" t="s">
        <v>48</v>
      </c>
      <c r="P81" s="9" t="s">
        <v>41</v>
      </c>
      <c r="Q81" s="9" t="s">
        <v>412</v>
      </c>
      <c r="R81" s="9" t="s">
        <v>413</v>
      </c>
      <c r="S81" s="9" t="s">
        <v>414</v>
      </c>
      <c r="T81" s="9" t="s">
        <v>415</v>
      </c>
      <c r="U81" s="9" t="s">
        <v>39</v>
      </c>
      <c r="V81">
        <v>134685</v>
      </c>
      <c r="W81" s="1">
        <v>45883</v>
      </c>
      <c r="X81" s="9" t="s">
        <v>53</v>
      </c>
      <c r="Y81">
        <v>154657</v>
      </c>
      <c r="Z81" s="1">
        <v>45877</v>
      </c>
      <c r="AA81" s="1">
        <v>45877</v>
      </c>
      <c r="AB81" s="1">
        <v>45883</v>
      </c>
      <c r="AC81" s="1">
        <v>45883</v>
      </c>
      <c r="AD81" s="1">
        <v>45883</v>
      </c>
      <c r="AE81" s="1">
        <v>45883</v>
      </c>
      <c r="AF81" s="1">
        <v>45883</v>
      </c>
      <c r="AG81" s="1"/>
      <c r="AH81" s="1"/>
      <c r="AI81" s="1"/>
      <c r="AJ81" s="1"/>
      <c r="AK81" s="1"/>
      <c r="AL81" s="1"/>
      <c r="AM81" s="9" t="s">
        <v>619</v>
      </c>
      <c r="AN81" s="2">
        <f>+Pedidos_Pistachos[[#This Row],[CantidadPedida]]</f>
        <v>1920</v>
      </c>
      <c r="AO81" s="2">
        <f>+Pedidos_Pistachos[[#This Row],[Cajas]]*2</f>
        <v>3840</v>
      </c>
    </row>
    <row r="82" spans="1:41" x14ac:dyDescent="0.25">
      <c r="A82">
        <v>77667</v>
      </c>
      <c r="B82">
        <v>1</v>
      </c>
      <c r="C82" s="9" t="s">
        <v>40</v>
      </c>
      <c r="D82" s="9" t="s">
        <v>54</v>
      </c>
      <c r="E82" s="9" t="s">
        <v>55</v>
      </c>
      <c r="F82" s="9" t="s">
        <v>56</v>
      </c>
      <c r="G82" s="9" t="s">
        <v>46</v>
      </c>
      <c r="H82" s="9" t="s">
        <v>47</v>
      </c>
      <c r="I82" s="6">
        <v>50</v>
      </c>
      <c r="J82" s="8">
        <v>26.3</v>
      </c>
      <c r="K82" s="6">
        <v>50</v>
      </c>
      <c r="L82" s="6">
        <v>50</v>
      </c>
      <c r="M82" s="6">
        <v>500</v>
      </c>
      <c r="N82" s="9" t="s">
        <v>42</v>
      </c>
      <c r="O82" s="9" t="s">
        <v>48</v>
      </c>
      <c r="P82" s="9" t="s">
        <v>41</v>
      </c>
      <c r="Q82" s="9" t="s">
        <v>402</v>
      </c>
      <c r="R82" s="9" t="s">
        <v>403</v>
      </c>
      <c r="S82" s="9" t="s">
        <v>404</v>
      </c>
      <c r="T82" s="9" t="s">
        <v>405</v>
      </c>
      <c r="U82" s="9" t="s">
        <v>39</v>
      </c>
      <c r="V82">
        <v>134688</v>
      </c>
      <c r="W82" s="1">
        <v>45883</v>
      </c>
      <c r="X82" s="9" t="s">
        <v>53</v>
      </c>
      <c r="Y82">
        <v>154654</v>
      </c>
      <c r="Z82" s="1">
        <v>45877</v>
      </c>
      <c r="AA82" s="1">
        <v>45877</v>
      </c>
      <c r="AB82" s="1">
        <v>45883</v>
      </c>
      <c r="AC82" s="1">
        <v>45883</v>
      </c>
      <c r="AD82" s="1">
        <v>45883</v>
      </c>
      <c r="AE82" s="1">
        <v>45883</v>
      </c>
      <c r="AF82" s="1">
        <v>45883</v>
      </c>
      <c r="AG82" s="1"/>
      <c r="AH82" s="1"/>
      <c r="AI82" s="1"/>
      <c r="AJ82" s="1"/>
      <c r="AK82" s="1"/>
      <c r="AL82" s="1"/>
      <c r="AM82" s="9" t="s">
        <v>619</v>
      </c>
      <c r="AN82" s="2">
        <f>+Pedidos_Pistachos[[#This Row],[CantidadPedida]]</f>
        <v>50</v>
      </c>
      <c r="AO82" s="2">
        <f>+Pedidos_Pistachos[[#This Row],[Cajas]]*2</f>
        <v>100</v>
      </c>
    </row>
    <row r="83" spans="1:41" x14ac:dyDescent="0.25">
      <c r="A83">
        <v>77667</v>
      </c>
      <c r="B83">
        <v>2</v>
      </c>
      <c r="C83" s="9" t="s">
        <v>40</v>
      </c>
      <c r="D83" s="9" t="s">
        <v>54</v>
      </c>
      <c r="E83" s="9" t="s">
        <v>61</v>
      </c>
      <c r="F83" s="9" t="s">
        <v>62</v>
      </c>
      <c r="G83" s="9" t="s">
        <v>46</v>
      </c>
      <c r="H83" s="9" t="s">
        <v>47</v>
      </c>
      <c r="I83" s="6">
        <v>650</v>
      </c>
      <c r="J83" s="8">
        <v>14.75</v>
      </c>
      <c r="K83" s="6">
        <v>650</v>
      </c>
      <c r="L83" s="6">
        <v>650</v>
      </c>
      <c r="M83" s="6">
        <v>6500</v>
      </c>
      <c r="N83" s="9" t="s">
        <v>42</v>
      </c>
      <c r="O83" s="9" t="s">
        <v>48</v>
      </c>
      <c r="P83" s="9" t="s">
        <v>41</v>
      </c>
      <c r="Q83" s="9" t="s">
        <v>402</v>
      </c>
      <c r="R83" s="9" t="s">
        <v>406</v>
      </c>
      <c r="S83" s="9" t="s">
        <v>404</v>
      </c>
      <c r="T83" s="9" t="s">
        <v>405</v>
      </c>
      <c r="U83" s="9" t="s">
        <v>39</v>
      </c>
      <c r="V83">
        <v>134687</v>
      </c>
      <c r="W83" s="1">
        <v>45883</v>
      </c>
      <c r="X83" s="9" t="s">
        <v>53</v>
      </c>
      <c r="Y83">
        <v>154655</v>
      </c>
      <c r="Z83" s="1">
        <v>45877</v>
      </c>
      <c r="AA83" s="1">
        <v>45877</v>
      </c>
      <c r="AB83" s="1">
        <v>45883</v>
      </c>
      <c r="AC83" s="1">
        <v>45883</v>
      </c>
      <c r="AD83" s="1">
        <v>45883</v>
      </c>
      <c r="AE83" s="1">
        <v>45883</v>
      </c>
      <c r="AF83" s="1">
        <v>45883</v>
      </c>
      <c r="AG83" s="1"/>
      <c r="AH83" s="1"/>
      <c r="AI83" s="1"/>
      <c r="AJ83" s="1"/>
      <c r="AK83" s="1"/>
      <c r="AL83" s="1"/>
      <c r="AM83" s="9" t="s">
        <v>619</v>
      </c>
      <c r="AN83" s="2">
        <f>+Pedidos_Pistachos[[#This Row],[CantidadPedida]]</f>
        <v>650</v>
      </c>
      <c r="AO83" s="2">
        <f>+Pedidos_Pistachos[[#This Row],[Cajas]]*2</f>
        <v>1300</v>
      </c>
    </row>
    <row r="84" spans="1:41" x14ac:dyDescent="0.25">
      <c r="A84">
        <v>77666</v>
      </c>
      <c r="B84">
        <v>1</v>
      </c>
      <c r="C84" s="9" t="s">
        <v>40</v>
      </c>
      <c r="D84" s="9" t="s">
        <v>397</v>
      </c>
      <c r="E84" s="9" t="s">
        <v>55</v>
      </c>
      <c r="F84" s="9" t="s">
        <v>56</v>
      </c>
      <c r="G84" s="9" t="s">
        <v>46</v>
      </c>
      <c r="H84" s="9" t="s">
        <v>47</v>
      </c>
      <c r="I84" s="6">
        <v>70</v>
      </c>
      <c r="J84" s="8">
        <v>26.3</v>
      </c>
      <c r="K84" s="6">
        <v>70</v>
      </c>
      <c r="L84" s="6">
        <v>70</v>
      </c>
      <c r="M84" s="6">
        <v>700</v>
      </c>
      <c r="N84" s="9" t="s">
        <v>42</v>
      </c>
      <c r="O84" s="9" t="s">
        <v>48</v>
      </c>
      <c r="P84" s="9" t="s">
        <v>41</v>
      </c>
      <c r="Q84" s="9" t="s">
        <v>398</v>
      </c>
      <c r="R84" s="9" t="s">
        <v>399</v>
      </c>
      <c r="S84" s="9" t="s">
        <v>400</v>
      </c>
      <c r="T84" s="9" t="s">
        <v>401</v>
      </c>
      <c r="U84" s="9" t="s">
        <v>39</v>
      </c>
      <c r="V84">
        <v>134689</v>
      </c>
      <c r="W84" s="1">
        <v>45883</v>
      </c>
      <c r="X84" s="9" t="s">
        <v>53</v>
      </c>
      <c r="Y84">
        <v>154653</v>
      </c>
      <c r="Z84" s="1">
        <v>45877</v>
      </c>
      <c r="AA84" s="1">
        <v>45877</v>
      </c>
      <c r="AB84" s="1">
        <v>45883</v>
      </c>
      <c r="AC84" s="1">
        <v>45883</v>
      </c>
      <c r="AD84" s="1">
        <v>45883</v>
      </c>
      <c r="AE84" s="1">
        <v>45883</v>
      </c>
      <c r="AF84" s="1">
        <v>45883</v>
      </c>
      <c r="AG84" s="1"/>
      <c r="AH84" s="1"/>
      <c r="AI84" s="1"/>
      <c r="AJ84" s="1"/>
      <c r="AK84" s="1"/>
      <c r="AL84" s="1"/>
      <c r="AM84" s="9" t="s">
        <v>619</v>
      </c>
      <c r="AN84" s="2">
        <f>+Pedidos_Pistachos[[#This Row],[CantidadPedida]]</f>
        <v>70</v>
      </c>
      <c r="AO84" s="2">
        <f>+Pedidos_Pistachos[[#This Row],[Cajas]]*2</f>
        <v>140</v>
      </c>
    </row>
    <row r="85" spans="1:41" x14ac:dyDescent="0.25">
      <c r="A85">
        <v>77664</v>
      </c>
      <c r="B85">
        <v>1</v>
      </c>
      <c r="C85" s="9" t="s">
        <v>40</v>
      </c>
      <c r="D85" s="9" t="s">
        <v>162</v>
      </c>
      <c r="E85" s="9" t="s">
        <v>61</v>
      </c>
      <c r="F85" s="9" t="s">
        <v>62</v>
      </c>
      <c r="G85" s="9" t="s">
        <v>46</v>
      </c>
      <c r="H85" s="9" t="s">
        <v>47</v>
      </c>
      <c r="I85" s="6">
        <v>350</v>
      </c>
      <c r="J85" s="8">
        <v>14.75</v>
      </c>
      <c r="K85" s="6">
        <v>350</v>
      </c>
      <c r="L85" s="6">
        <v>350</v>
      </c>
      <c r="M85" s="6">
        <v>3500</v>
      </c>
      <c r="N85" s="9" t="s">
        <v>42</v>
      </c>
      <c r="O85" s="9" t="s">
        <v>48</v>
      </c>
      <c r="P85" s="9" t="s">
        <v>41</v>
      </c>
      <c r="Q85" s="9" t="s">
        <v>331</v>
      </c>
      <c r="R85" s="9" t="s">
        <v>392</v>
      </c>
      <c r="S85" s="9" t="s">
        <v>333</v>
      </c>
      <c r="T85" s="9" t="s">
        <v>334</v>
      </c>
      <c r="U85" s="9" t="s">
        <v>39</v>
      </c>
      <c r="V85">
        <v>134690</v>
      </c>
      <c r="W85" s="1">
        <v>45883</v>
      </c>
      <c r="X85" s="9" t="s">
        <v>53</v>
      </c>
      <c r="Y85">
        <v>154651</v>
      </c>
      <c r="Z85" s="1">
        <v>45877</v>
      </c>
      <c r="AA85" s="1">
        <v>45877</v>
      </c>
      <c r="AB85" s="1">
        <v>45883</v>
      </c>
      <c r="AC85" s="1">
        <v>45883</v>
      </c>
      <c r="AD85" s="1">
        <v>45883</v>
      </c>
      <c r="AE85" s="1">
        <v>45883</v>
      </c>
      <c r="AF85" s="1">
        <v>45883</v>
      </c>
      <c r="AG85" s="1"/>
      <c r="AH85" s="1"/>
      <c r="AI85" s="1"/>
      <c r="AJ85" s="1"/>
      <c r="AK85" s="1"/>
      <c r="AL85" s="1"/>
      <c r="AM85" s="9" t="s">
        <v>619</v>
      </c>
      <c r="AN85" s="2">
        <f>+Pedidos_Pistachos[[#This Row],[CantidadPedida]]</f>
        <v>350</v>
      </c>
      <c r="AO85" s="2">
        <f>+Pedidos_Pistachos[[#This Row],[Cajas]]*2</f>
        <v>700</v>
      </c>
    </row>
    <row r="86" spans="1:41" x14ac:dyDescent="0.25">
      <c r="A86">
        <v>77663</v>
      </c>
      <c r="B86">
        <v>1</v>
      </c>
      <c r="C86" s="9" t="s">
        <v>40</v>
      </c>
      <c r="D86" s="9" t="s">
        <v>387</v>
      </c>
      <c r="E86" s="9" t="s">
        <v>55</v>
      </c>
      <c r="F86" s="9" t="s">
        <v>56</v>
      </c>
      <c r="G86" s="9" t="s">
        <v>46</v>
      </c>
      <c r="H86" s="9" t="s">
        <v>47</v>
      </c>
      <c r="I86" s="6">
        <v>14</v>
      </c>
      <c r="J86" s="8">
        <v>26.3</v>
      </c>
      <c r="K86" s="6">
        <v>14</v>
      </c>
      <c r="L86" s="6">
        <v>14</v>
      </c>
      <c r="M86" s="6">
        <v>140</v>
      </c>
      <c r="N86" s="9" t="s">
        <v>42</v>
      </c>
      <c r="O86" s="9" t="s">
        <v>48</v>
      </c>
      <c r="P86" s="9" t="s">
        <v>41</v>
      </c>
      <c r="Q86" s="9" t="s">
        <v>388</v>
      </c>
      <c r="R86" s="9" t="s">
        <v>389</v>
      </c>
      <c r="S86" s="9" t="s">
        <v>390</v>
      </c>
      <c r="T86" s="9" t="s">
        <v>391</v>
      </c>
      <c r="U86" s="9" t="s">
        <v>39</v>
      </c>
      <c r="V86">
        <v>134691</v>
      </c>
      <c r="W86" s="1">
        <v>45883</v>
      </c>
      <c r="X86" s="9" t="s">
        <v>53</v>
      </c>
      <c r="Y86">
        <v>154650</v>
      </c>
      <c r="Z86" s="1">
        <v>45877</v>
      </c>
      <c r="AA86" s="1">
        <v>45877</v>
      </c>
      <c r="AB86" s="1">
        <v>45883</v>
      </c>
      <c r="AC86" s="1">
        <v>45883</v>
      </c>
      <c r="AD86" s="1">
        <v>45883</v>
      </c>
      <c r="AE86" s="1">
        <v>45883</v>
      </c>
      <c r="AF86" s="1">
        <v>45883</v>
      </c>
      <c r="AG86" s="1"/>
      <c r="AH86" s="1"/>
      <c r="AI86" s="1"/>
      <c r="AJ86" s="1"/>
      <c r="AK86" s="1"/>
      <c r="AL86" s="1"/>
      <c r="AM86" s="9" t="s">
        <v>619</v>
      </c>
      <c r="AN86" s="2">
        <f>+Pedidos_Pistachos[[#This Row],[CantidadPedida]]</f>
        <v>14</v>
      </c>
      <c r="AO86" s="2">
        <f>+Pedidos_Pistachos[[#This Row],[Cajas]]*2</f>
        <v>28</v>
      </c>
    </row>
    <row r="87" spans="1:41" x14ac:dyDescent="0.25">
      <c r="A87">
        <v>77658</v>
      </c>
      <c r="B87">
        <v>1</v>
      </c>
      <c r="C87" s="9" t="s">
        <v>40</v>
      </c>
      <c r="D87" s="9" t="s">
        <v>382</v>
      </c>
      <c r="E87" s="9" t="s">
        <v>61</v>
      </c>
      <c r="F87" s="9" t="s">
        <v>62</v>
      </c>
      <c r="G87" s="9" t="s">
        <v>46</v>
      </c>
      <c r="H87" s="9" t="s">
        <v>47</v>
      </c>
      <c r="I87" s="6">
        <v>70</v>
      </c>
      <c r="J87" s="8">
        <v>14.75</v>
      </c>
      <c r="K87" s="6">
        <v>70</v>
      </c>
      <c r="L87" s="6">
        <v>70</v>
      </c>
      <c r="M87" s="6">
        <v>700</v>
      </c>
      <c r="N87" s="9" t="s">
        <v>42</v>
      </c>
      <c r="O87" s="9" t="s">
        <v>48</v>
      </c>
      <c r="P87" s="9" t="s">
        <v>41</v>
      </c>
      <c r="Q87" s="9" t="s">
        <v>383</v>
      </c>
      <c r="R87" s="9" t="s">
        <v>384</v>
      </c>
      <c r="S87" s="9" t="s">
        <v>385</v>
      </c>
      <c r="T87" s="9" t="s">
        <v>386</v>
      </c>
      <c r="U87" s="9" t="s">
        <v>39</v>
      </c>
      <c r="V87">
        <v>134692</v>
      </c>
      <c r="W87" s="1">
        <v>45883</v>
      </c>
      <c r="X87" s="9" t="s">
        <v>53</v>
      </c>
      <c r="Y87">
        <v>154626</v>
      </c>
      <c r="Z87" s="1">
        <v>45877</v>
      </c>
      <c r="AA87" s="1">
        <v>45877</v>
      </c>
      <c r="AB87" s="1">
        <v>45883</v>
      </c>
      <c r="AC87" s="1">
        <v>45883</v>
      </c>
      <c r="AD87" s="1">
        <v>45883</v>
      </c>
      <c r="AE87" s="1">
        <v>45883</v>
      </c>
      <c r="AF87" s="1">
        <v>45883</v>
      </c>
      <c r="AG87" s="1"/>
      <c r="AH87" s="1"/>
      <c r="AI87" s="1"/>
      <c r="AJ87" s="1"/>
      <c r="AK87" s="1"/>
      <c r="AL87" s="1"/>
      <c r="AM87" s="9" t="s">
        <v>619</v>
      </c>
      <c r="AN87" s="2">
        <f>+Pedidos_Pistachos[[#This Row],[CantidadPedida]]</f>
        <v>70</v>
      </c>
      <c r="AO87" s="2">
        <f>+Pedidos_Pistachos[[#This Row],[Cajas]]*2</f>
        <v>140</v>
      </c>
    </row>
    <row r="88" spans="1:41" x14ac:dyDescent="0.25">
      <c r="A88">
        <v>77653</v>
      </c>
      <c r="B88">
        <v>1</v>
      </c>
      <c r="C88" s="9" t="s">
        <v>40</v>
      </c>
      <c r="D88" s="9" t="s">
        <v>377</v>
      </c>
      <c r="E88" s="9" t="s">
        <v>55</v>
      </c>
      <c r="F88" s="9" t="s">
        <v>56</v>
      </c>
      <c r="G88" s="9" t="s">
        <v>46</v>
      </c>
      <c r="H88" s="9" t="s">
        <v>47</v>
      </c>
      <c r="I88" s="6">
        <v>40</v>
      </c>
      <c r="J88" s="8">
        <v>26.3</v>
      </c>
      <c r="K88" s="6">
        <v>40</v>
      </c>
      <c r="L88" s="6">
        <v>40</v>
      </c>
      <c r="M88" s="6">
        <v>400</v>
      </c>
      <c r="N88" s="9" t="s">
        <v>42</v>
      </c>
      <c r="O88" s="9" t="s">
        <v>48</v>
      </c>
      <c r="P88" s="9" t="s">
        <v>41</v>
      </c>
      <c r="Q88" s="9" t="s">
        <v>378</v>
      </c>
      <c r="R88" s="9" t="s">
        <v>379</v>
      </c>
      <c r="S88" s="9" t="s">
        <v>380</v>
      </c>
      <c r="T88" s="9" t="s">
        <v>381</v>
      </c>
      <c r="U88" s="9" t="s">
        <v>39</v>
      </c>
      <c r="V88">
        <v>134693</v>
      </c>
      <c r="W88" s="1">
        <v>45883</v>
      </c>
      <c r="X88" s="9" t="s">
        <v>53</v>
      </c>
      <c r="Y88">
        <v>154613</v>
      </c>
      <c r="Z88" s="1">
        <v>45877</v>
      </c>
      <c r="AA88" s="1">
        <v>45877</v>
      </c>
      <c r="AB88" s="1">
        <v>45883</v>
      </c>
      <c r="AC88" s="1">
        <v>45883</v>
      </c>
      <c r="AD88" s="1">
        <v>45883</v>
      </c>
      <c r="AE88" s="1">
        <v>45883</v>
      </c>
      <c r="AF88" s="1">
        <v>45883</v>
      </c>
      <c r="AG88" s="1"/>
      <c r="AH88" s="1"/>
      <c r="AI88" s="1"/>
      <c r="AJ88" s="1"/>
      <c r="AK88" s="1"/>
      <c r="AL88" s="1"/>
      <c r="AM88" s="9" t="s">
        <v>619</v>
      </c>
      <c r="AN88" s="2">
        <f>+Pedidos_Pistachos[[#This Row],[CantidadPedida]]</f>
        <v>40</v>
      </c>
      <c r="AO88" s="2">
        <f>+Pedidos_Pistachos[[#This Row],[Cajas]]*2</f>
        <v>80</v>
      </c>
    </row>
    <row r="89" spans="1:41" x14ac:dyDescent="0.25">
      <c r="A89">
        <v>77652</v>
      </c>
      <c r="B89">
        <v>1</v>
      </c>
      <c r="C89" s="9" t="s">
        <v>40</v>
      </c>
      <c r="D89" s="9" t="s">
        <v>247</v>
      </c>
      <c r="E89" s="9" t="s">
        <v>61</v>
      </c>
      <c r="F89" s="9" t="s">
        <v>62</v>
      </c>
      <c r="G89" s="9" t="s">
        <v>46</v>
      </c>
      <c r="H89" s="9" t="s">
        <v>47</v>
      </c>
      <c r="I89" s="6">
        <v>70</v>
      </c>
      <c r="J89" s="8">
        <v>14.75</v>
      </c>
      <c r="K89" s="6">
        <v>70</v>
      </c>
      <c r="L89" s="6">
        <v>70</v>
      </c>
      <c r="M89" s="6">
        <v>700</v>
      </c>
      <c r="N89" s="9" t="s">
        <v>42</v>
      </c>
      <c r="O89" s="9" t="s">
        <v>48</v>
      </c>
      <c r="P89" s="9" t="s">
        <v>41</v>
      </c>
      <c r="Q89" s="9" t="s">
        <v>373</v>
      </c>
      <c r="R89" s="9" t="s">
        <v>374</v>
      </c>
      <c r="S89" s="9" t="s">
        <v>375</v>
      </c>
      <c r="T89" s="9" t="s">
        <v>376</v>
      </c>
      <c r="U89" s="9" t="s">
        <v>39</v>
      </c>
      <c r="V89">
        <v>134694</v>
      </c>
      <c r="W89" s="1">
        <v>45883</v>
      </c>
      <c r="X89" s="9" t="s">
        <v>53</v>
      </c>
      <c r="Y89">
        <v>154595</v>
      </c>
      <c r="Z89" s="1">
        <v>45877</v>
      </c>
      <c r="AA89" s="1">
        <v>45877</v>
      </c>
      <c r="AB89" s="1">
        <v>45883</v>
      </c>
      <c r="AC89" s="1">
        <v>45883</v>
      </c>
      <c r="AD89" s="1">
        <v>45883</v>
      </c>
      <c r="AE89" s="1">
        <v>45883</v>
      </c>
      <c r="AF89" s="1">
        <v>45883</v>
      </c>
      <c r="AG89" s="1"/>
      <c r="AH89" s="1"/>
      <c r="AI89" s="1"/>
      <c r="AJ89" s="1"/>
      <c r="AK89" s="1"/>
      <c r="AL89" s="1"/>
      <c r="AM89" s="9" t="s">
        <v>619</v>
      </c>
      <c r="AN89" s="2">
        <f>+Pedidos_Pistachos[[#This Row],[CantidadPedida]]</f>
        <v>70</v>
      </c>
      <c r="AO89" s="2">
        <f>+Pedidos_Pistachos[[#This Row],[Cajas]]*2</f>
        <v>140</v>
      </c>
    </row>
    <row r="90" spans="1:41" x14ac:dyDescent="0.25">
      <c r="A90">
        <v>77650</v>
      </c>
      <c r="B90">
        <v>1</v>
      </c>
      <c r="C90" s="9" t="s">
        <v>40</v>
      </c>
      <c r="D90" s="9" t="s">
        <v>368</v>
      </c>
      <c r="E90" s="9" t="s">
        <v>61</v>
      </c>
      <c r="F90" s="9" t="s">
        <v>62</v>
      </c>
      <c r="G90" s="9" t="s">
        <v>46</v>
      </c>
      <c r="H90" s="9" t="s">
        <v>47</v>
      </c>
      <c r="I90" s="6">
        <v>70</v>
      </c>
      <c r="J90" s="8">
        <v>14.75</v>
      </c>
      <c r="K90" s="6">
        <v>70</v>
      </c>
      <c r="L90" s="6">
        <v>70</v>
      </c>
      <c r="M90" s="6">
        <v>700</v>
      </c>
      <c r="N90" s="9" t="s">
        <v>42</v>
      </c>
      <c r="O90" s="9" t="s">
        <v>48</v>
      </c>
      <c r="P90" s="9" t="s">
        <v>41</v>
      </c>
      <c r="Q90" s="9" t="s">
        <v>369</v>
      </c>
      <c r="R90" s="9" t="s">
        <v>370</v>
      </c>
      <c r="S90" s="9" t="s">
        <v>371</v>
      </c>
      <c r="T90" s="9" t="s">
        <v>372</v>
      </c>
      <c r="U90" s="9" t="s">
        <v>39</v>
      </c>
      <c r="V90">
        <v>134695</v>
      </c>
      <c r="W90" s="1">
        <v>45883</v>
      </c>
      <c r="X90" s="9" t="s">
        <v>53</v>
      </c>
      <c r="Y90">
        <v>154594</v>
      </c>
      <c r="Z90" s="1">
        <v>45877</v>
      </c>
      <c r="AA90" s="1">
        <v>45877</v>
      </c>
      <c r="AB90" s="1">
        <v>45883</v>
      </c>
      <c r="AC90" s="1">
        <v>45883</v>
      </c>
      <c r="AD90" s="1">
        <v>45883</v>
      </c>
      <c r="AE90" s="1">
        <v>45883</v>
      </c>
      <c r="AF90" s="1">
        <v>45883</v>
      </c>
      <c r="AG90" s="1"/>
      <c r="AH90" s="1"/>
      <c r="AI90" s="1"/>
      <c r="AJ90" s="1"/>
      <c r="AK90" s="1"/>
      <c r="AL90" s="1"/>
      <c r="AM90" s="9" t="s">
        <v>619</v>
      </c>
      <c r="AN90" s="2">
        <f>+Pedidos_Pistachos[[#This Row],[CantidadPedida]]</f>
        <v>70</v>
      </c>
      <c r="AO90" s="2">
        <f>+Pedidos_Pistachos[[#This Row],[Cajas]]*2</f>
        <v>140</v>
      </c>
    </row>
    <row r="91" spans="1:41" x14ac:dyDescent="0.25">
      <c r="A91">
        <v>77649</v>
      </c>
      <c r="B91">
        <v>1</v>
      </c>
      <c r="C91" s="9" t="s">
        <v>40</v>
      </c>
      <c r="D91" s="9" t="s">
        <v>277</v>
      </c>
      <c r="E91" s="9" t="s">
        <v>61</v>
      </c>
      <c r="F91" s="9" t="s">
        <v>62</v>
      </c>
      <c r="G91" s="9" t="s">
        <v>46</v>
      </c>
      <c r="H91" s="9" t="s">
        <v>47</v>
      </c>
      <c r="I91" s="6">
        <v>70</v>
      </c>
      <c r="J91" s="8">
        <v>14.75</v>
      </c>
      <c r="K91" s="6">
        <v>70</v>
      </c>
      <c r="L91" s="6">
        <v>70</v>
      </c>
      <c r="M91" s="6">
        <v>700</v>
      </c>
      <c r="N91" s="9" t="s">
        <v>42</v>
      </c>
      <c r="O91" s="9" t="s">
        <v>48</v>
      </c>
      <c r="P91" s="9" t="s">
        <v>41</v>
      </c>
      <c r="Q91" s="9" t="s">
        <v>364</v>
      </c>
      <c r="R91" s="9" t="s">
        <v>365</v>
      </c>
      <c r="S91" s="9" t="s">
        <v>366</v>
      </c>
      <c r="T91" s="9" t="s">
        <v>367</v>
      </c>
      <c r="U91" s="9" t="s">
        <v>39</v>
      </c>
      <c r="V91">
        <v>134696</v>
      </c>
      <c r="W91" s="1">
        <v>45883</v>
      </c>
      <c r="X91" s="9" t="s">
        <v>53</v>
      </c>
      <c r="Y91">
        <v>154593</v>
      </c>
      <c r="Z91" s="1">
        <v>45877</v>
      </c>
      <c r="AA91" s="1">
        <v>45877</v>
      </c>
      <c r="AB91" s="1">
        <v>45883</v>
      </c>
      <c r="AC91" s="1">
        <v>45883</v>
      </c>
      <c r="AD91" s="1">
        <v>45883</v>
      </c>
      <c r="AE91" s="1">
        <v>45883</v>
      </c>
      <c r="AF91" s="1">
        <v>45883</v>
      </c>
      <c r="AG91" s="1"/>
      <c r="AH91" s="1"/>
      <c r="AI91" s="1"/>
      <c r="AJ91" s="1"/>
      <c r="AK91" s="1"/>
      <c r="AL91" s="1"/>
      <c r="AM91" s="9" t="s">
        <v>619</v>
      </c>
      <c r="AN91" s="2">
        <f>+Pedidos_Pistachos[[#This Row],[CantidadPedida]]</f>
        <v>70</v>
      </c>
      <c r="AO91" s="2">
        <f>+Pedidos_Pistachos[[#This Row],[Cajas]]*2</f>
        <v>140</v>
      </c>
    </row>
    <row r="92" spans="1:41" x14ac:dyDescent="0.25">
      <c r="A92">
        <v>77648</v>
      </c>
      <c r="B92">
        <v>2</v>
      </c>
      <c r="C92" s="9" t="s">
        <v>40</v>
      </c>
      <c r="D92" s="9" t="s">
        <v>355</v>
      </c>
      <c r="E92" s="9" t="s">
        <v>61</v>
      </c>
      <c r="F92" s="9" t="s">
        <v>62</v>
      </c>
      <c r="G92" s="9" t="s">
        <v>46</v>
      </c>
      <c r="H92" s="9" t="s">
        <v>47</v>
      </c>
      <c r="I92" s="6">
        <v>50</v>
      </c>
      <c r="J92" s="8">
        <v>14.75</v>
      </c>
      <c r="K92" s="6">
        <v>50</v>
      </c>
      <c r="L92" s="6">
        <v>50</v>
      </c>
      <c r="M92" s="6">
        <v>500</v>
      </c>
      <c r="N92" s="9" t="s">
        <v>42</v>
      </c>
      <c r="O92" s="9" t="s">
        <v>48</v>
      </c>
      <c r="P92" s="9" t="s">
        <v>41</v>
      </c>
      <c r="Q92" s="9" t="s">
        <v>360</v>
      </c>
      <c r="R92" s="9" t="s">
        <v>361</v>
      </c>
      <c r="S92" s="9" t="s">
        <v>362</v>
      </c>
      <c r="T92" s="9" t="s">
        <v>363</v>
      </c>
      <c r="U92" s="9" t="s">
        <v>39</v>
      </c>
      <c r="V92">
        <v>134701</v>
      </c>
      <c r="W92" s="1">
        <v>45883</v>
      </c>
      <c r="X92" s="9" t="s">
        <v>53</v>
      </c>
      <c r="Y92">
        <v>154592</v>
      </c>
      <c r="Z92" s="1">
        <v>45877</v>
      </c>
      <c r="AA92" s="1">
        <v>45877</v>
      </c>
      <c r="AB92" s="1">
        <v>45883</v>
      </c>
      <c r="AC92" s="1">
        <v>45883</v>
      </c>
      <c r="AD92" s="1">
        <v>45883</v>
      </c>
      <c r="AE92" s="1">
        <v>45883</v>
      </c>
      <c r="AF92" s="1">
        <v>45883</v>
      </c>
      <c r="AG92" s="1"/>
      <c r="AH92" s="1"/>
      <c r="AI92" s="1"/>
      <c r="AJ92" s="1"/>
      <c r="AK92" s="1"/>
      <c r="AL92" s="1"/>
      <c r="AM92" s="9" t="s">
        <v>619</v>
      </c>
      <c r="AN92" s="2">
        <f>+Pedidos_Pistachos[[#This Row],[CantidadPedida]]</f>
        <v>50</v>
      </c>
      <c r="AO92" s="2">
        <f>+Pedidos_Pistachos[[#This Row],[Cajas]]*2</f>
        <v>100</v>
      </c>
    </row>
    <row r="93" spans="1:41" x14ac:dyDescent="0.25">
      <c r="A93">
        <v>77648</v>
      </c>
      <c r="B93">
        <v>1</v>
      </c>
      <c r="C93" s="9" t="s">
        <v>40</v>
      </c>
      <c r="D93" s="9" t="s">
        <v>355</v>
      </c>
      <c r="E93" s="9" t="s">
        <v>55</v>
      </c>
      <c r="F93" s="9" t="s">
        <v>56</v>
      </c>
      <c r="G93" s="9" t="s">
        <v>46</v>
      </c>
      <c r="H93" s="9" t="s">
        <v>47</v>
      </c>
      <c r="I93" s="6">
        <v>30</v>
      </c>
      <c r="J93" s="8">
        <v>26.3</v>
      </c>
      <c r="K93" s="6">
        <v>30</v>
      </c>
      <c r="L93" s="6">
        <v>30</v>
      </c>
      <c r="M93" s="6">
        <v>300</v>
      </c>
      <c r="N93" s="9" t="s">
        <v>42</v>
      </c>
      <c r="O93" s="9" t="s">
        <v>48</v>
      </c>
      <c r="P93" s="9" t="s">
        <v>41</v>
      </c>
      <c r="Q93" s="9" t="s">
        <v>356</v>
      </c>
      <c r="R93" s="9" t="s">
        <v>357</v>
      </c>
      <c r="S93" s="9" t="s">
        <v>358</v>
      </c>
      <c r="T93" s="9" t="s">
        <v>359</v>
      </c>
      <c r="U93" s="9" t="s">
        <v>39</v>
      </c>
      <c r="V93">
        <v>134702</v>
      </c>
      <c r="W93" s="1">
        <v>45883</v>
      </c>
      <c r="X93" s="9" t="s">
        <v>53</v>
      </c>
      <c r="Y93">
        <v>154591</v>
      </c>
      <c r="Z93" s="1">
        <v>45877</v>
      </c>
      <c r="AA93" s="1">
        <v>45877</v>
      </c>
      <c r="AB93" s="1">
        <v>45883</v>
      </c>
      <c r="AC93" s="1">
        <v>45883</v>
      </c>
      <c r="AD93" s="1">
        <v>45883</v>
      </c>
      <c r="AE93" s="1">
        <v>45883</v>
      </c>
      <c r="AF93" s="1">
        <v>45883</v>
      </c>
      <c r="AG93" s="1"/>
      <c r="AH93" s="1"/>
      <c r="AI93" s="1"/>
      <c r="AJ93" s="1"/>
      <c r="AK93" s="1"/>
      <c r="AL93" s="1"/>
      <c r="AM93" s="9" t="s">
        <v>619</v>
      </c>
      <c r="AN93" s="2">
        <f>+Pedidos_Pistachos[[#This Row],[CantidadPedida]]</f>
        <v>30</v>
      </c>
      <c r="AO93" s="2">
        <f>+Pedidos_Pistachos[[#This Row],[Cajas]]*2</f>
        <v>60</v>
      </c>
    </row>
    <row r="94" spans="1:41" x14ac:dyDescent="0.25">
      <c r="A94">
        <v>77647</v>
      </c>
      <c r="B94">
        <v>1</v>
      </c>
      <c r="C94" s="9" t="s">
        <v>40</v>
      </c>
      <c r="D94" s="9" t="s">
        <v>350</v>
      </c>
      <c r="E94" s="9" t="s">
        <v>61</v>
      </c>
      <c r="F94" s="9" t="s">
        <v>62</v>
      </c>
      <c r="G94" s="9" t="s">
        <v>46</v>
      </c>
      <c r="H94" s="9" t="s">
        <v>47</v>
      </c>
      <c r="I94" s="6">
        <v>70</v>
      </c>
      <c r="J94" s="8">
        <v>14.75</v>
      </c>
      <c r="K94" s="6">
        <v>70</v>
      </c>
      <c r="L94" s="6">
        <v>70</v>
      </c>
      <c r="M94" s="6">
        <v>700</v>
      </c>
      <c r="N94" s="9" t="s">
        <v>42</v>
      </c>
      <c r="O94" s="9" t="s">
        <v>48</v>
      </c>
      <c r="P94" s="9" t="s">
        <v>41</v>
      </c>
      <c r="Q94" s="9" t="s">
        <v>351</v>
      </c>
      <c r="R94" s="9" t="s">
        <v>352</v>
      </c>
      <c r="S94" s="9" t="s">
        <v>353</v>
      </c>
      <c r="T94" s="9" t="s">
        <v>354</v>
      </c>
      <c r="U94" s="9" t="s">
        <v>39</v>
      </c>
      <c r="V94">
        <v>134703</v>
      </c>
      <c r="W94" s="1">
        <v>45883</v>
      </c>
      <c r="X94" s="9" t="s">
        <v>53</v>
      </c>
      <c r="Y94">
        <v>154590</v>
      </c>
      <c r="Z94" s="1">
        <v>45877</v>
      </c>
      <c r="AA94" s="1">
        <v>45877</v>
      </c>
      <c r="AB94" s="1">
        <v>45883</v>
      </c>
      <c r="AC94" s="1">
        <v>45883</v>
      </c>
      <c r="AD94" s="1">
        <v>45883</v>
      </c>
      <c r="AE94" s="1">
        <v>45883</v>
      </c>
      <c r="AF94" s="1">
        <v>45883</v>
      </c>
      <c r="AG94" s="1"/>
      <c r="AH94" s="1"/>
      <c r="AI94" s="1"/>
      <c r="AJ94" s="1"/>
      <c r="AK94" s="1"/>
      <c r="AL94" s="1"/>
      <c r="AM94" s="9" t="s">
        <v>619</v>
      </c>
      <c r="AN94" s="2">
        <f>+Pedidos_Pistachos[[#This Row],[CantidadPedida]]</f>
        <v>70</v>
      </c>
      <c r="AO94" s="2">
        <f>+Pedidos_Pistachos[[#This Row],[Cajas]]*2</f>
        <v>140</v>
      </c>
    </row>
    <row r="95" spans="1:41" x14ac:dyDescent="0.25">
      <c r="A95">
        <v>77646</v>
      </c>
      <c r="B95">
        <v>1</v>
      </c>
      <c r="C95" s="9" t="s">
        <v>40</v>
      </c>
      <c r="D95" s="9" t="s">
        <v>143</v>
      </c>
      <c r="E95" s="9" t="s">
        <v>55</v>
      </c>
      <c r="F95" s="9" t="s">
        <v>56</v>
      </c>
      <c r="G95" s="9" t="s">
        <v>46</v>
      </c>
      <c r="H95" s="9" t="s">
        <v>47</v>
      </c>
      <c r="I95" s="6">
        <v>140</v>
      </c>
      <c r="J95" s="8">
        <v>26.3</v>
      </c>
      <c r="K95" s="6">
        <v>140</v>
      </c>
      <c r="L95" s="6">
        <v>140</v>
      </c>
      <c r="M95" s="6">
        <v>1400</v>
      </c>
      <c r="N95" s="9" t="s">
        <v>42</v>
      </c>
      <c r="O95" s="9" t="s">
        <v>48</v>
      </c>
      <c r="P95" s="9" t="s">
        <v>41</v>
      </c>
      <c r="Q95" s="9" t="s">
        <v>346</v>
      </c>
      <c r="R95" s="9" t="s">
        <v>347</v>
      </c>
      <c r="S95" s="9" t="s">
        <v>348</v>
      </c>
      <c r="T95" s="9" t="s">
        <v>349</v>
      </c>
      <c r="U95" s="9" t="s">
        <v>39</v>
      </c>
      <c r="V95">
        <v>134705</v>
      </c>
      <c r="W95" s="1">
        <v>45883</v>
      </c>
      <c r="X95" s="9" t="s">
        <v>53</v>
      </c>
      <c r="Y95">
        <v>154589</v>
      </c>
      <c r="Z95" s="1">
        <v>45877</v>
      </c>
      <c r="AA95" s="1">
        <v>45877</v>
      </c>
      <c r="AB95" s="1">
        <v>45883</v>
      </c>
      <c r="AC95" s="1">
        <v>45883</v>
      </c>
      <c r="AD95" s="1">
        <v>45883</v>
      </c>
      <c r="AE95" s="1">
        <v>45883</v>
      </c>
      <c r="AF95" s="1">
        <v>45883</v>
      </c>
      <c r="AG95" s="1"/>
      <c r="AH95" s="1"/>
      <c r="AI95" s="1"/>
      <c r="AJ95" s="1"/>
      <c r="AK95" s="1"/>
      <c r="AL95" s="1"/>
      <c r="AM95" s="9" t="s">
        <v>619</v>
      </c>
      <c r="AN95" s="2">
        <f>+Pedidos_Pistachos[[#This Row],[CantidadPedida]]</f>
        <v>140</v>
      </c>
      <c r="AO95" s="2">
        <f>+Pedidos_Pistachos[[#This Row],[Cajas]]*2</f>
        <v>280</v>
      </c>
    </row>
    <row r="96" spans="1:41" x14ac:dyDescent="0.25">
      <c r="A96">
        <v>77645</v>
      </c>
      <c r="B96">
        <v>1</v>
      </c>
      <c r="C96" s="9" t="s">
        <v>40</v>
      </c>
      <c r="D96" s="9" t="s">
        <v>111</v>
      </c>
      <c r="E96" s="9" t="s">
        <v>55</v>
      </c>
      <c r="F96" s="9" t="s">
        <v>56</v>
      </c>
      <c r="G96" s="9" t="s">
        <v>46</v>
      </c>
      <c r="H96" s="9" t="s">
        <v>47</v>
      </c>
      <c r="I96" s="6">
        <v>70</v>
      </c>
      <c r="J96" s="8">
        <v>26.3</v>
      </c>
      <c r="K96" s="6">
        <v>70</v>
      </c>
      <c r="L96" s="6">
        <v>70</v>
      </c>
      <c r="M96" s="6">
        <v>700</v>
      </c>
      <c r="N96" s="9" t="s">
        <v>42</v>
      </c>
      <c r="O96" s="9" t="s">
        <v>48</v>
      </c>
      <c r="P96" s="9" t="s">
        <v>41</v>
      </c>
      <c r="Q96" s="9" t="s">
        <v>340</v>
      </c>
      <c r="R96" s="9" t="s">
        <v>341</v>
      </c>
      <c r="S96" s="9" t="s">
        <v>342</v>
      </c>
      <c r="T96" s="9" t="s">
        <v>343</v>
      </c>
      <c r="U96" s="9" t="s">
        <v>39</v>
      </c>
      <c r="V96">
        <v>134706</v>
      </c>
      <c r="W96" s="1">
        <v>45883</v>
      </c>
      <c r="X96" s="9" t="s">
        <v>53</v>
      </c>
      <c r="Y96">
        <v>154587</v>
      </c>
      <c r="Z96" s="1">
        <v>45877</v>
      </c>
      <c r="AA96" s="1">
        <v>45877</v>
      </c>
      <c r="AB96" s="1">
        <v>45883</v>
      </c>
      <c r="AC96" s="1">
        <v>45883</v>
      </c>
      <c r="AD96" s="1">
        <v>45883</v>
      </c>
      <c r="AE96" s="1">
        <v>45883</v>
      </c>
      <c r="AF96" s="1">
        <v>45883</v>
      </c>
      <c r="AG96" s="1"/>
      <c r="AH96" s="1"/>
      <c r="AI96" s="1"/>
      <c r="AJ96" s="1"/>
      <c r="AK96" s="1"/>
      <c r="AL96" s="1"/>
      <c r="AM96" s="9" t="s">
        <v>619</v>
      </c>
      <c r="AN96" s="2">
        <f>+Pedidos_Pistachos[[#This Row],[CantidadPedida]]</f>
        <v>70</v>
      </c>
      <c r="AO96" s="2">
        <f>+Pedidos_Pistachos[[#This Row],[Cajas]]*2</f>
        <v>140</v>
      </c>
    </row>
    <row r="97" spans="1:41" x14ac:dyDescent="0.25">
      <c r="A97">
        <v>77645</v>
      </c>
      <c r="B97">
        <v>2</v>
      </c>
      <c r="C97" s="9" t="s">
        <v>40</v>
      </c>
      <c r="D97" s="9" t="s">
        <v>111</v>
      </c>
      <c r="E97" s="9" t="s">
        <v>61</v>
      </c>
      <c r="F97" s="9" t="s">
        <v>62</v>
      </c>
      <c r="G97" s="9" t="s">
        <v>46</v>
      </c>
      <c r="H97" s="9" t="s">
        <v>47</v>
      </c>
      <c r="I97" s="6">
        <v>210</v>
      </c>
      <c r="J97" s="8">
        <v>14.75</v>
      </c>
      <c r="K97" s="6">
        <v>210</v>
      </c>
      <c r="L97" s="6">
        <v>210</v>
      </c>
      <c r="M97" s="6">
        <v>2100</v>
      </c>
      <c r="N97" s="9" t="s">
        <v>42</v>
      </c>
      <c r="O97" s="9" t="s">
        <v>48</v>
      </c>
      <c r="P97" s="9" t="s">
        <v>41</v>
      </c>
      <c r="Q97" s="9" t="s">
        <v>344</v>
      </c>
      <c r="R97" s="9" t="s">
        <v>345</v>
      </c>
      <c r="S97" s="9" t="s">
        <v>342</v>
      </c>
      <c r="T97" s="9" t="s">
        <v>343</v>
      </c>
      <c r="U97" s="9" t="s">
        <v>39</v>
      </c>
      <c r="V97">
        <v>134704</v>
      </c>
      <c r="W97" s="1">
        <v>45883</v>
      </c>
      <c r="X97" s="9" t="s">
        <v>53</v>
      </c>
      <c r="Y97">
        <v>154588</v>
      </c>
      <c r="Z97" s="1">
        <v>45877</v>
      </c>
      <c r="AA97" s="1">
        <v>45877</v>
      </c>
      <c r="AB97" s="1">
        <v>45883</v>
      </c>
      <c r="AC97" s="1">
        <v>45883</v>
      </c>
      <c r="AD97" s="1">
        <v>45883</v>
      </c>
      <c r="AE97" s="1">
        <v>45883</v>
      </c>
      <c r="AF97" s="1">
        <v>45883</v>
      </c>
      <c r="AG97" s="1"/>
      <c r="AH97" s="1"/>
      <c r="AI97" s="1"/>
      <c r="AJ97" s="1"/>
      <c r="AK97" s="1"/>
      <c r="AL97" s="1"/>
      <c r="AM97" s="9" t="s">
        <v>619</v>
      </c>
      <c r="AN97" s="2">
        <f>+Pedidos_Pistachos[[#This Row],[CantidadPedida]]</f>
        <v>210</v>
      </c>
      <c r="AO97" s="2">
        <f>+Pedidos_Pistachos[[#This Row],[Cajas]]*2</f>
        <v>420</v>
      </c>
    </row>
    <row r="98" spans="1:41" x14ac:dyDescent="0.25">
      <c r="A98">
        <v>77644</v>
      </c>
      <c r="B98">
        <v>1</v>
      </c>
      <c r="C98" s="9" t="s">
        <v>40</v>
      </c>
      <c r="D98" s="9" t="s">
        <v>106</v>
      </c>
      <c r="E98" s="9" t="s">
        <v>61</v>
      </c>
      <c r="F98" s="9" t="s">
        <v>62</v>
      </c>
      <c r="G98" s="9" t="s">
        <v>46</v>
      </c>
      <c r="H98" s="9" t="s">
        <v>47</v>
      </c>
      <c r="I98" s="6">
        <v>70</v>
      </c>
      <c r="J98" s="8">
        <v>14.75</v>
      </c>
      <c r="K98" s="6">
        <v>70</v>
      </c>
      <c r="L98" s="6">
        <v>70</v>
      </c>
      <c r="M98" s="6">
        <v>700</v>
      </c>
      <c r="N98" s="9" t="s">
        <v>42</v>
      </c>
      <c r="O98" s="9" t="s">
        <v>48</v>
      </c>
      <c r="P98" s="9" t="s">
        <v>41</v>
      </c>
      <c r="Q98" s="9" t="s">
        <v>336</v>
      </c>
      <c r="R98" s="9" t="s">
        <v>337</v>
      </c>
      <c r="S98" s="9" t="s">
        <v>338</v>
      </c>
      <c r="T98" s="9" t="s">
        <v>339</v>
      </c>
      <c r="U98" s="9" t="s">
        <v>39</v>
      </c>
      <c r="V98">
        <v>134707</v>
      </c>
      <c r="W98" s="1">
        <v>45883</v>
      </c>
      <c r="X98" s="9" t="s">
        <v>53</v>
      </c>
      <c r="Y98">
        <v>154586</v>
      </c>
      <c r="Z98" s="1">
        <v>45877</v>
      </c>
      <c r="AA98" s="1">
        <v>45877</v>
      </c>
      <c r="AB98" s="1">
        <v>45883</v>
      </c>
      <c r="AC98" s="1">
        <v>45883</v>
      </c>
      <c r="AD98" s="1">
        <v>45883</v>
      </c>
      <c r="AE98" s="1">
        <v>45883</v>
      </c>
      <c r="AF98" s="1">
        <v>45883</v>
      </c>
      <c r="AG98" s="1"/>
      <c r="AH98" s="1"/>
      <c r="AI98" s="1"/>
      <c r="AJ98" s="1"/>
      <c r="AK98" s="1"/>
      <c r="AL98" s="1"/>
      <c r="AM98" s="9" t="s">
        <v>619</v>
      </c>
      <c r="AN98" s="2">
        <f>+Pedidos_Pistachos[[#This Row],[CantidadPedida]]</f>
        <v>70</v>
      </c>
      <c r="AO98" s="2">
        <f>+Pedidos_Pistachos[[#This Row],[Cajas]]*2</f>
        <v>140</v>
      </c>
    </row>
    <row r="99" spans="1:41" x14ac:dyDescent="0.25">
      <c r="A99">
        <v>77643</v>
      </c>
      <c r="B99">
        <v>2</v>
      </c>
      <c r="C99" s="9" t="s">
        <v>40</v>
      </c>
      <c r="D99" s="9" t="s">
        <v>330</v>
      </c>
      <c r="E99" s="9" t="s">
        <v>61</v>
      </c>
      <c r="F99" s="9" t="s">
        <v>62</v>
      </c>
      <c r="G99" s="9" t="s">
        <v>46</v>
      </c>
      <c r="H99" s="9" t="s">
        <v>47</v>
      </c>
      <c r="I99" s="6">
        <v>140</v>
      </c>
      <c r="J99" s="8">
        <v>17.75</v>
      </c>
      <c r="K99" s="6">
        <v>140</v>
      </c>
      <c r="L99" s="6">
        <v>140</v>
      </c>
      <c r="M99" s="6">
        <v>1400</v>
      </c>
      <c r="N99" s="9" t="s">
        <v>42</v>
      </c>
      <c r="O99" s="9" t="s">
        <v>48</v>
      </c>
      <c r="P99" s="9" t="s">
        <v>41</v>
      </c>
      <c r="Q99" s="9" t="s">
        <v>331</v>
      </c>
      <c r="R99" s="9" t="s">
        <v>335</v>
      </c>
      <c r="S99" s="9" t="s">
        <v>333</v>
      </c>
      <c r="T99" s="9" t="s">
        <v>334</v>
      </c>
      <c r="U99" s="9" t="s">
        <v>39</v>
      </c>
      <c r="V99">
        <v>134708</v>
      </c>
      <c r="W99" s="1">
        <v>45883</v>
      </c>
      <c r="X99" s="9" t="s">
        <v>53</v>
      </c>
      <c r="Y99">
        <v>154584</v>
      </c>
      <c r="Z99" s="1">
        <v>45877</v>
      </c>
      <c r="AA99" s="1">
        <v>45877</v>
      </c>
      <c r="AB99" s="1">
        <v>45883</v>
      </c>
      <c r="AC99" s="1">
        <v>45883</v>
      </c>
      <c r="AD99" s="1">
        <v>45883</v>
      </c>
      <c r="AE99" s="1">
        <v>45883</v>
      </c>
      <c r="AF99" s="1">
        <v>45883</v>
      </c>
      <c r="AG99" s="1"/>
      <c r="AH99" s="1"/>
      <c r="AI99" s="1"/>
      <c r="AJ99" s="1"/>
      <c r="AK99" s="1"/>
      <c r="AL99" s="1"/>
      <c r="AM99" s="9" t="s">
        <v>619</v>
      </c>
      <c r="AN99" s="2">
        <f>+Pedidos_Pistachos[[#This Row],[CantidadPedida]]</f>
        <v>140</v>
      </c>
      <c r="AO99" s="2">
        <f>+Pedidos_Pistachos[[#This Row],[Cajas]]*2</f>
        <v>280</v>
      </c>
    </row>
    <row r="100" spans="1:41" x14ac:dyDescent="0.25">
      <c r="A100">
        <v>77643</v>
      </c>
      <c r="B100">
        <v>1</v>
      </c>
      <c r="C100" s="9" t="s">
        <v>40</v>
      </c>
      <c r="D100" s="9" t="s">
        <v>330</v>
      </c>
      <c r="E100" s="9" t="s">
        <v>55</v>
      </c>
      <c r="F100" s="9" t="s">
        <v>56</v>
      </c>
      <c r="G100" s="9" t="s">
        <v>46</v>
      </c>
      <c r="H100" s="9" t="s">
        <v>47</v>
      </c>
      <c r="I100" s="6">
        <v>70</v>
      </c>
      <c r="J100" s="8">
        <v>26.3</v>
      </c>
      <c r="K100" s="6">
        <v>70</v>
      </c>
      <c r="L100" s="6">
        <v>70</v>
      </c>
      <c r="M100" s="6">
        <v>700</v>
      </c>
      <c r="N100" s="9" t="s">
        <v>42</v>
      </c>
      <c r="O100" s="9" t="s">
        <v>48</v>
      </c>
      <c r="P100" s="9" t="s">
        <v>41</v>
      </c>
      <c r="Q100" s="9" t="s">
        <v>331</v>
      </c>
      <c r="R100" s="9" t="s">
        <v>332</v>
      </c>
      <c r="S100" s="9" t="s">
        <v>333</v>
      </c>
      <c r="T100" s="9" t="s">
        <v>334</v>
      </c>
      <c r="U100" s="9" t="s">
        <v>39</v>
      </c>
      <c r="V100">
        <v>134709</v>
      </c>
      <c r="W100" s="1">
        <v>45883</v>
      </c>
      <c r="X100" s="9" t="s">
        <v>53</v>
      </c>
      <c r="Y100">
        <v>154579</v>
      </c>
      <c r="Z100" s="1">
        <v>45877</v>
      </c>
      <c r="AA100" s="1">
        <v>45877</v>
      </c>
      <c r="AB100" s="1">
        <v>45883</v>
      </c>
      <c r="AC100" s="1">
        <v>45883</v>
      </c>
      <c r="AD100" s="1">
        <v>45883</v>
      </c>
      <c r="AE100" s="1">
        <v>45883</v>
      </c>
      <c r="AF100" s="1">
        <v>45883</v>
      </c>
      <c r="AG100" s="1"/>
      <c r="AH100" s="1"/>
      <c r="AI100" s="1"/>
      <c r="AJ100" s="1"/>
      <c r="AK100" s="1"/>
      <c r="AL100" s="1"/>
      <c r="AM100" s="9" t="s">
        <v>619</v>
      </c>
      <c r="AN100" s="2">
        <f>+Pedidos_Pistachos[[#This Row],[CantidadPedida]]</f>
        <v>70</v>
      </c>
      <c r="AO100" s="2">
        <f>+Pedidos_Pistachos[[#This Row],[Cajas]]*2</f>
        <v>140</v>
      </c>
    </row>
    <row r="101" spans="1:41" x14ac:dyDescent="0.25">
      <c r="A101">
        <v>77641</v>
      </c>
      <c r="B101">
        <v>1</v>
      </c>
      <c r="C101" s="9" t="s">
        <v>40</v>
      </c>
      <c r="D101" s="9" t="s">
        <v>70</v>
      </c>
      <c r="E101" s="9" t="s">
        <v>55</v>
      </c>
      <c r="F101" s="9" t="s">
        <v>56</v>
      </c>
      <c r="G101" s="9" t="s">
        <v>46</v>
      </c>
      <c r="H101" s="9" t="s">
        <v>47</v>
      </c>
      <c r="I101" s="6">
        <v>30</v>
      </c>
      <c r="J101" s="8">
        <v>26.3</v>
      </c>
      <c r="K101" s="6">
        <v>30</v>
      </c>
      <c r="L101" s="6">
        <v>30</v>
      </c>
      <c r="M101" s="6">
        <v>300</v>
      </c>
      <c r="N101" s="9" t="s">
        <v>42</v>
      </c>
      <c r="O101" s="9" t="s">
        <v>48</v>
      </c>
      <c r="P101" s="9" t="s">
        <v>41</v>
      </c>
      <c r="Q101" s="9" t="s">
        <v>325</v>
      </c>
      <c r="R101" s="9" t="s">
        <v>326</v>
      </c>
      <c r="S101" s="9" t="s">
        <v>327</v>
      </c>
      <c r="T101" s="9" t="s">
        <v>328</v>
      </c>
      <c r="U101" s="9" t="s">
        <v>39</v>
      </c>
      <c r="V101">
        <v>134711</v>
      </c>
      <c r="W101" s="1">
        <v>45883</v>
      </c>
      <c r="X101" s="9" t="s">
        <v>53</v>
      </c>
      <c r="Y101">
        <v>154564</v>
      </c>
      <c r="Z101" s="1">
        <v>45877</v>
      </c>
      <c r="AA101" s="1">
        <v>45877</v>
      </c>
      <c r="AB101" s="1">
        <v>45883</v>
      </c>
      <c r="AC101" s="1">
        <v>45883</v>
      </c>
      <c r="AD101" s="1">
        <v>45883</v>
      </c>
      <c r="AE101" s="1">
        <v>45883</v>
      </c>
      <c r="AF101" s="1">
        <v>45883</v>
      </c>
      <c r="AG101" s="1"/>
      <c r="AH101" s="1"/>
      <c r="AI101" s="1"/>
      <c r="AJ101" s="1"/>
      <c r="AK101" s="1"/>
      <c r="AL101" s="1"/>
      <c r="AM101" s="9" t="s">
        <v>619</v>
      </c>
      <c r="AN101" s="2">
        <f>+Pedidos_Pistachos[[#This Row],[CantidadPedida]]</f>
        <v>30</v>
      </c>
      <c r="AO101" s="2">
        <f>+Pedidos_Pistachos[[#This Row],[Cajas]]*2</f>
        <v>60</v>
      </c>
    </row>
    <row r="102" spans="1:41" x14ac:dyDescent="0.25">
      <c r="A102">
        <v>77641</v>
      </c>
      <c r="B102">
        <v>2</v>
      </c>
      <c r="C102" s="9" t="s">
        <v>40</v>
      </c>
      <c r="D102" s="9" t="s">
        <v>70</v>
      </c>
      <c r="E102" s="9" t="s">
        <v>61</v>
      </c>
      <c r="F102" s="9" t="s">
        <v>62</v>
      </c>
      <c r="G102" s="9" t="s">
        <v>46</v>
      </c>
      <c r="H102" s="9" t="s">
        <v>47</v>
      </c>
      <c r="I102" s="6">
        <v>110</v>
      </c>
      <c r="J102" s="8">
        <v>14.75</v>
      </c>
      <c r="K102" s="6">
        <v>110</v>
      </c>
      <c r="L102" s="6">
        <v>110</v>
      </c>
      <c r="M102" s="6">
        <v>1100</v>
      </c>
      <c r="N102" s="9" t="s">
        <v>42</v>
      </c>
      <c r="O102" s="9" t="s">
        <v>48</v>
      </c>
      <c r="P102" s="9" t="s">
        <v>41</v>
      </c>
      <c r="Q102" s="9" t="s">
        <v>325</v>
      </c>
      <c r="R102" s="9" t="s">
        <v>329</v>
      </c>
      <c r="S102" s="9" t="s">
        <v>327</v>
      </c>
      <c r="T102" s="9" t="s">
        <v>328</v>
      </c>
      <c r="U102" s="9" t="s">
        <v>39</v>
      </c>
      <c r="V102">
        <v>134710</v>
      </c>
      <c r="W102" s="1">
        <v>45883</v>
      </c>
      <c r="X102" s="9" t="s">
        <v>53</v>
      </c>
      <c r="Y102">
        <v>154565</v>
      </c>
      <c r="Z102" s="1">
        <v>45877</v>
      </c>
      <c r="AA102" s="1">
        <v>45877</v>
      </c>
      <c r="AB102" s="1">
        <v>45883</v>
      </c>
      <c r="AC102" s="1">
        <v>45883</v>
      </c>
      <c r="AD102" s="1">
        <v>45883</v>
      </c>
      <c r="AE102" s="1">
        <v>45883</v>
      </c>
      <c r="AF102" s="1">
        <v>45883</v>
      </c>
      <c r="AG102" s="1"/>
      <c r="AH102" s="1"/>
      <c r="AI102" s="1"/>
      <c r="AJ102" s="1"/>
      <c r="AK102" s="1"/>
      <c r="AL102" s="1"/>
      <c r="AM102" s="9" t="s">
        <v>619</v>
      </c>
      <c r="AN102" s="2">
        <f>+Pedidos_Pistachos[[#This Row],[CantidadPedida]]</f>
        <v>110</v>
      </c>
      <c r="AO102" s="2">
        <f>+Pedidos_Pistachos[[#This Row],[Cajas]]*2</f>
        <v>220</v>
      </c>
    </row>
    <row r="103" spans="1:41" x14ac:dyDescent="0.25">
      <c r="A103">
        <v>77640</v>
      </c>
      <c r="B103">
        <v>2</v>
      </c>
      <c r="C103" s="9" t="s">
        <v>40</v>
      </c>
      <c r="D103" s="9" t="s">
        <v>316</v>
      </c>
      <c r="E103" s="9" t="s">
        <v>61</v>
      </c>
      <c r="F103" s="9" t="s">
        <v>62</v>
      </c>
      <c r="G103" s="9" t="s">
        <v>46</v>
      </c>
      <c r="H103" s="9" t="s">
        <v>47</v>
      </c>
      <c r="I103" s="6">
        <v>210</v>
      </c>
      <c r="J103" s="8">
        <v>14.75</v>
      </c>
      <c r="K103" s="6">
        <v>210</v>
      </c>
      <c r="L103" s="6">
        <v>210</v>
      </c>
      <c r="M103" s="6">
        <v>2100</v>
      </c>
      <c r="N103" s="9" t="s">
        <v>42</v>
      </c>
      <c r="O103" s="9" t="s">
        <v>48</v>
      </c>
      <c r="P103" s="9" t="s">
        <v>41</v>
      </c>
      <c r="Q103" s="9" t="s">
        <v>321</v>
      </c>
      <c r="R103" s="9" t="s">
        <v>322</v>
      </c>
      <c r="S103" s="9" t="s">
        <v>323</v>
      </c>
      <c r="T103" s="9" t="s">
        <v>324</v>
      </c>
      <c r="U103" s="9" t="s">
        <v>39</v>
      </c>
      <c r="V103">
        <v>134712</v>
      </c>
      <c r="W103" s="1">
        <v>45883</v>
      </c>
      <c r="X103" s="9" t="s">
        <v>53</v>
      </c>
      <c r="Y103">
        <v>154563</v>
      </c>
      <c r="Z103" s="1">
        <v>45877</v>
      </c>
      <c r="AA103" s="1">
        <v>45877</v>
      </c>
      <c r="AB103" s="1">
        <v>45883</v>
      </c>
      <c r="AC103" s="1">
        <v>45883</v>
      </c>
      <c r="AD103" s="1">
        <v>45883</v>
      </c>
      <c r="AE103" s="1">
        <v>45883</v>
      </c>
      <c r="AF103" s="1">
        <v>45883</v>
      </c>
      <c r="AG103" s="1"/>
      <c r="AH103" s="1"/>
      <c r="AI103" s="1"/>
      <c r="AJ103" s="1"/>
      <c r="AK103" s="1"/>
      <c r="AL103" s="1"/>
      <c r="AM103" s="9" t="s">
        <v>619</v>
      </c>
      <c r="AN103" s="2">
        <f>+Pedidos_Pistachos[[#This Row],[CantidadPedida]]</f>
        <v>210</v>
      </c>
      <c r="AO103" s="2">
        <f>+Pedidos_Pistachos[[#This Row],[Cajas]]*2</f>
        <v>420</v>
      </c>
    </row>
    <row r="104" spans="1:41" x14ac:dyDescent="0.25">
      <c r="A104">
        <v>77640</v>
      </c>
      <c r="B104">
        <v>1</v>
      </c>
      <c r="C104" s="9" t="s">
        <v>40</v>
      </c>
      <c r="D104" s="9" t="s">
        <v>316</v>
      </c>
      <c r="E104" s="9" t="s">
        <v>55</v>
      </c>
      <c r="F104" s="9" t="s">
        <v>56</v>
      </c>
      <c r="G104" s="9" t="s">
        <v>46</v>
      </c>
      <c r="H104" s="9" t="s">
        <v>47</v>
      </c>
      <c r="I104" s="6">
        <v>50</v>
      </c>
      <c r="J104" s="8">
        <v>26.3</v>
      </c>
      <c r="K104" s="6">
        <v>50</v>
      </c>
      <c r="L104" s="6">
        <v>50</v>
      </c>
      <c r="M104" s="6">
        <v>500</v>
      </c>
      <c r="N104" s="9" t="s">
        <v>42</v>
      </c>
      <c r="O104" s="9" t="s">
        <v>48</v>
      </c>
      <c r="P104" s="9" t="s">
        <v>41</v>
      </c>
      <c r="Q104" s="9" t="s">
        <v>317</v>
      </c>
      <c r="R104" s="9" t="s">
        <v>318</v>
      </c>
      <c r="S104" s="9" t="s">
        <v>319</v>
      </c>
      <c r="T104" s="9" t="s">
        <v>320</v>
      </c>
      <c r="U104" s="9" t="s">
        <v>39</v>
      </c>
      <c r="V104">
        <v>134713</v>
      </c>
      <c r="W104" s="1">
        <v>45883</v>
      </c>
      <c r="X104" s="9" t="s">
        <v>53</v>
      </c>
      <c r="Y104">
        <v>154562</v>
      </c>
      <c r="Z104" s="1">
        <v>45877</v>
      </c>
      <c r="AA104" s="1">
        <v>45877</v>
      </c>
      <c r="AB104" s="1">
        <v>45883</v>
      </c>
      <c r="AC104" s="1">
        <v>45883</v>
      </c>
      <c r="AD104" s="1">
        <v>45883</v>
      </c>
      <c r="AE104" s="1">
        <v>45883</v>
      </c>
      <c r="AF104" s="1">
        <v>45883</v>
      </c>
      <c r="AG104" s="1"/>
      <c r="AH104" s="1"/>
      <c r="AI104" s="1"/>
      <c r="AJ104" s="1"/>
      <c r="AK104" s="1"/>
      <c r="AL104" s="1"/>
      <c r="AM104" s="9" t="s">
        <v>619</v>
      </c>
      <c r="AN104" s="2">
        <f>+Pedidos_Pistachos[[#This Row],[CantidadPedida]]</f>
        <v>50</v>
      </c>
      <c r="AO104" s="2">
        <f>+Pedidos_Pistachos[[#This Row],[Cajas]]*2</f>
        <v>100</v>
      </c>
    </row>
    <row r="105" spans="1:41" x14ac:dyDescent="0.25">
      <c r="A105">
        <v>77639</v>
      </c>
      <c r="B105">
        <v>1</v>
      </c>
      <c r="C105" s="9" t="s">
        <v>40</v>
      </c>
      <c r="D105" s="9" t="s">
        <v>80</v>
      </c>
      <c r="E105" s="9" t="s">
        <v>61</v>
      </c>
      <c r="F105" s="9" t="s">
        <v>62</v>
      </c>
      <c r="G105" s="9" t="s">
        <v>46</v>
      </c>
      <c r="H105" s="9" t="s">
        <v>47</v>
      </c>
      <c r="I105" s="6">
        <v>70</v>
      </c>
      <c r="J105" s="8">
        <v>14.75</v>
      </c>
      <c r="K105" s="6">
        <v>70</v>
      </c>
      <c r="L105" s="6">
        <v>70</v>
      </c>
      <c r="M105" s="6">
        <v>700</v>
      </c>
      <c r="N105" s="9" t="s">
        <v>42</v>
      </c>
      <c r="O105" s="9" t="s">
        <v>48</v>
      </c>
      <c r="P105" s="9" t="s">
        <v>41</v>
      </c>
      <c r="Q105" s="9" t="s">
        <v>312</v>
      </c>
      <c r="R105" s="9" t="s">
        <v>313</v>
      </c>
      <c r="S105" s="9" t="s">
        <v>314</v>
      </c>
      <c r="T105" s="9" t="s">
        <v>315</v>
      </c>
      <c r="U105" s="9" t="s">
        <v>39</v>
      </c>
      <c r="V105">
        <v>134714</v>
      </c>
      <c r="W105" s="1">
        <v>45883</v>
      </c>
      <c r="X105" s="9" t="s">
        <v>53</v>
      </c>
      <c r="Y105">
        <v>154561</v>
      </c>
      <c r="Z105" s="1">
        <v>45877</v>
      </c>
      <c r="AA105" s="1">
        <v>45877</v>
      </c>
      <c r="AB105" s="1">
        <v>45883</v>
      </c>
      <c r="AC105" s="1">
        <v>45883</v>
      </c>
      <c r="AD105" s="1">
        <v>45883</v>
      </c>
      <c r="AE105" s="1">
        <v>45883</v>
      </c>
      <c r="AF105" s="1">
        <v>45883</v>
      </c>
      <c r="AG105" s="1"/>
      <c r="AH105" s="1"/>
      <c r="AI105" s="1"/>
      <c r="AJ105" s="1"/>
      <c r="AK105" s="1"/>
      <c r="AL105" s="1"/>
      <c r="AM105" s="9" t="s">
        <v>619</v>
      </c>
      <c r="AN105" s="2">
        <f>+Pedidos_Pistachos[[#This Row],[CantidadPedida]]</f>
        <v>70</v>
      </c>
      <c r="AO105" s="2">
        <f>+Pedidos_Pistachos[[#This Row],[Cajas]]*2</f>
        <v>140</v>
      </c>
    </row>
    <row r="106" spans="1:41" x14ac:dyDescent="0.25">
      <c r="A106">
        <v>77638</v>
      </c>
      <c r="B106">
        <v>1</v>
      </c>
      <c r="C106" s="9" t="s">
        <v>40</v>
      </c>
      <c r="D106" s="9" t="s">
        <v>282</v>
      </c>
      <c r="E106" s="9" t="s">
        <v>61</v>
      </c>
      <c r="F106" s="9" t="s">
        <v>62</v>
      </c>
      <c r="G106" s="9" t="s">
        <v>46</v>
      </c>
      <c r="H106" s="9" t="s">
        <v>47</v>
      </c>
      <c r="I106" s="6">
        <v>70</v>
      </c>
      <c r="J106" s="8">
        <v>14.75</v>
      </c>
      <c r="K106" s="6">
        <v>70</v>
      </c>
      <c r="L106" s="6">
        <v>70</v>
      </c>
      <c r="M106" s="6">
        <v>700</v>
      </c>
      <c r="N106" s="9" t="s">
        <v>42</v>
      </c>
      <c r="O106" s="9" t="s">
        <v>48</v>
      </c>
      <c r="P106" s="9" t="s">
        <v>41</v>
      </c>
      <c r="Q106" s="9" t="s">
        <v>308</v>
      </c>
      <c r="R106" s="9" t="s">
        <v>309</v>
      </c>
      <c r="S106" s="9" t="s">
        <v>310</v>
      </c>
      <c r="T106" s="9" t="s">
        <v>311</v>
      </c>
      <c r="U106" s="9" t="s">
        <v>39</v>
      </c>
      <c r="V106">
        <v>134715</v>
      </c>
      <c r="W106" s="1">
        <v>45883</v>
      </c>
      <c r="X106" s="9" t="s">
        <v>53</v>
      </c>
      <c r="Y106">
        <v>154560</v>
      </c>
      <c r="Z106" s="1">
        <v>45877</v>
      </c>
      <c r="AA106" s="1">
        <v>45877</v>
      </c>
      <c r="AB106" s="1">
        <v>45883</v>
      </c>
      <c r="AC106" s="1">
        <v>45883</v>
      </c>
      <c r="AD106" s="1">
        <v>45883</v>
      </c>
      <c r="AE106" s="1">
        <v>45883</v>
      </c>
      <c r="AF106" s="1">
        <v>45883</v>
      </c>
      <c r="AG106" s="1"/>
      <c r="AH106" s="1"/>
      <c r="AI106" s="1"/>
      <c r="AJ106" s="1"/>
      <c r="AK106" s="1"/>
      <c r="AL106" s="1"/>
      <c r="AM106" s="9" t="s">
        <v>619</v>
      </c>
      <c r="AN106" s="2">
        <f>+Pedidos_Pistachos[[#This Row],[CantidadPedida]]</f>
        <v>70</v>
      </c>
      <c r="AO106" s="2">
        <f>+Pedidos_Pistachos[[#This Row],[Cajas]]*2</f>
        <v>140</v>
      </c>
    </row>
    <row r="107" spans="1:41" x14ac:dyDescent="0.25">
      <c r="A107">
        <v>77635</v>
      </c>
      <c r="B107">
        <v>1</v>
      </c>
      <c r="C107" s="9" t="s">
        <v>40</v>
      </c>
      <c r="D107" s="9" t="s">
        <v>204</v>
      </c>
      <c r="E107" s="9" t="s">
        <v>61</v>
      </c>
      <c r="F107" s="9" t="s">
        <v>62</v>
      </c>
      <c r="G107" s="9" t="s">
        <v>46</v>
      </c>
      <c r="H107" s="9" t="s">
        <v>47</v>
      </c>
      <c r="I107" s="6">
        <v>190</v>
      </c>
      <c r="J107" s="8">
        <v>14.75</v>
      </c>
      <c r="K107" s="6">
        <v>190</v>
      </c>
      <c r="L107" s="6">
        <v>190</v>
      </c>
      <c r="M107" s="6">
        <v>1900</v>
      </c>
      <c r="N107" s="9" t="s">
        <v>42</v>
      </c>
      <c r="O107" s="9" t="s">
        <v>48</v>
      </c>
      <c r="P107" s="9" t="s">
        <v>41</v>
      </c>
      <c r="Q107" s="9" t="s">
        <v>304</v>
      </c>
      <c r="R107" s="9" t="s">
        <v>305</v>
      </c>
      <c r="S107" s="9" t="s">
        <v>306</v>
      </c>
      <c r="T107" s="9" t="s">
        <v>307</v>
      </c>
      <c r="U107" s="9" t="s">
        <v>39</v>
      </c>
      <c r="V107">
        <v>134716</v>
      </c>
      <c r="W107" s="1">
        <v>45883</v>
      </c>
      <c r="X107" s="9" t="s">
        <v>53</v>
      </c>
      <c r="Y107">
        <v>154559</v>
      </c>
      <c r="Z107" s="1">
        <v>45877</v>
      </c>
      <c r="AA107" s="1">
        <v>45877</v>
      </c>
      <c r="AB107" s="1">
        <v>45883</v>
      </c>
      <c r="AC107" s="1">
        <v>45883</v>
      </c>
      <c r="AD107" s="1">
        <v>45883</v>
      </c>
      <c r="AE107" s="1">
        <v>45883</v>
      </c>
      <c r="AF107" s="1">
        <v>45883</v>
      </c>
      <c r="AG107" s="1"/>
      <c r="AH107" s="1"/>
      <c r="AI107" s="1"/>
      <c r="AJ107" s="1"/>
      <c r="AK107" s="1"/>
      <c r="AL107" s="1"/>
      <c r="AM107" s="9" t="s">
        <v>619</v>
      </c>
      <c r="AN107" s="2">
        <f>+Pedidos_Pistachos[[#This Row],[CantidadPedida]]</f>
        <v>190</v>
      </c>
      <c r="AO107" s="2">
        <f>+Pedidos_Pistachos[[#This Row],[Cajas]]*2</f>
        <v>380</v>
      </c>
    </row>
    <row r="108" spans="1:41" x14ac:dyDescent="0.25">
      <c r="A108">
        <v>77634</v>
      </c>
      <c r="B108">
        <v>1</v>
      </c>
      <c r="C108" s="9" t="s">
        <v>40</v>
      </c>
      <c r="D108" s="9" t="s">
        <v>96</v>
      </c>
      <c r="E108" s="9" t="s">
        <v>55</v>
      </c>
      <c r="F108" s="9" t="s">
        <v>56</v>
      </c>
      <c r="G108" s="9" t="s">
        <v>46</v>
      </c>
      <c r="H108" s="9" t="s">
        <v>47</v>
      </c>
      <c r="I108" s="6">
        <v>210</v>
      </c>
      <c r="J108" s="8">
        <v>26.3</v>
      </c>
      <c r="K108" s="6">
        <v>210</v>
      </c>
      <c r="L108" s="6">
        <v>210</v>
      </c>
      <c r="M108" s="6">
        <v>2100</v>
      </c>
      <c r="N108" s="9" t="s">
        <v>42</v>
      </c>
      <c r="O108" s="9" t="s">
        <v>48</v>
      </c>
      <c r="P108" s="9" t="s">
        <v>41</v>
      </c>
      <c r="Q108" s="9" t="s">
        <v>300</v>
      </c>
      <c r="R108" s="9" t="s">
        <v>301</v>
      </c>
      <c r="S108" s="9" t="s">
        <v>302</v>
      </c>
      <c r="T108" s="9" t="s">
        <v>303</v>
      </c>
      <c r="U108" s="9" t="s">
        <v>39</v>
      </c>
      <c r="V108">
        <v>134717</v>
      </c>
      <c r="W108" s="1">
        <v>45883</v>
      </c>
      <c r="X108" s="9" t="s">
        <v>53</v>
      </c>
      <c r="Y108">
        <v>154556</v>
      </c>
      <c r="Z108" s="1">
        <v>45877</v>
      </c>
      <c r="AA108" s="1">
        <v>45877</v>
      </c>
      <c r="AB108" s="1">
        <v>45883</v>
      </c>
      <c r="AC108" s="1">
        <v>45883</v>
      </c>
      <c r="AD108" s="1">
        <v>45883</v>
      </c>
      <c r="AE108" s="1">
        <v>45883</v>
      </c>
      <c r="AF108" s="1">
        <v>45883</v>
      </c>
      <c r="AG108" s="1"/>
      <c r="AH108" s="1"/>
      <c r="AI108" s="1"/>
      <c r="AJ108" s="1"/>
      <c r="AK108" s="1"/>
      <c r="AL108" s="1"/>
      <c r="AM108" s="9" t="s">
        <v>619</v>
      </c>
      <c r="AN108" s="2">
        <f>+Pedidos_Pistachos[[#This Row],[CantidadPedida]]</f>
        <v>210</v>
      </c>
      <c r="AO108" s="2">
        <f>+Pedidos_Pistachos[[#This Row],[Cajas]]*2</f>
        <v>420</v>
      </c>
    </row>
    <row r="109" spans="1:41" x14ac:dyDescent="0.25">
      <c r="A109">
        <v>77632</v>
      </c>
      <c r="B109">
        <v>1</v>
      </c>
      <c r="C109" s="9" t="s">
        <v>40</v>
      </c>
      <c r="D109" s="9" t="s">
        <v>295</v>
      </c>
      <c r="E109" s="9" t="s">
        <v>61</v>
      </c>
      <c r="F109" s="9" t="s">
        <v>62</v>
      </c>
      <c r="G109" s="9" t="s">
        <v>46</v>
      </c>
      <c r="H109" s="9" t="s">
        <v>47</v>
      </c>
      <c r="I109" s="6">
        <v>70</v>
      </c>
      <c r="J109" s="8">
        <v>14.75</v>
      </c>
      <c r="K109" s="6">
        <v>70</v>
      </c>
      <c r="L109" s="6">
        <v>70</v>
      </c>
      <c r="M109" s="6">
        <v>700</v>
      </c>
      <c r="N109" s="9" t="s">
        <v>42</v>
      </c>
      <c r="O109" s="9" t="s">
        <v>48</v>
      </c>
      <c r="P109" s="9" t="s">
        <v>41</v>
      </c>
      <c r="Q109" s="9" t="s">
        <v>296</v>
      </c>
      <c r="R109" s="9" t="s">
        <v>297</v>
      </c>
      <c r="S109" s="9" t="s">
        <v>298</v>
      </c>
      <c r="T109" s="9" t="s">
        <v>299</v>
      </c>
      <c r="U109" s="9" t="s">
        <v>39</v>
      </c>
      <c r="V109">
        <v>134718</v>
      </c>
      <c r="W109" s="1">
        <v>45883</v>
      </c>
      <c r="X109" s="9" t="s">
        <v>53</v>
      </c>
      <c r="Y109">
        <v>154554</v>
      </c>
      <c r="Z109" s="1">
        <v>45877</v>
      </c>
      <c r="AA109" s="1">
        <v>45877</v>
      </c>
      <c r="AB109" s="1">
        <v>45883</v>
      </c>
      <c r="AC109" s="1">
        <v>45883</v>
      </c>
      <c r="AD109" s="1">
        <v>45883</v>
      </c>
      <c r="AE109" s="1">
        <v>45883</v>
      </c>
      <c r="AF109" s="1">
        <v>45883</v>
      </c>
      <c r="AG109" s="1"/>
      <c r="AH109" s="1"/>
      <c r="AI109" s="1"/>
      <c r="AJ109" s="1"/>
      <c r="AK109" s="1"/>
      <c r="AL109" s="1"/>
      <c r="AM109" s="9" t="s">
        <v>619</v>
      </c>
      <c r="AN109" s="2">
        <f>+Pedidos_Pistachos[[#This Row],[CantidadPedida]]</f>
        <v>70</v>
      </c>
      <c r="AO109" s="2">
        <f>+Pedidos_Pistachos[[#This Row],[Cajas]]*2</f>
        <v>140</v>
      </c>
    </row>
    <row r="110" spans="1:41" x14ac:dyDescent="0.25">
      <c r="A110">
        <v>77631</v>
      </c>
      <c r="B110">
        <v>1</v>
      </c>
      <c r="C110" s="9" t="s">
        <v>40</v>
      </c>
      <c r="D110" s="9" t="s">
        <v>199</v>
      </c>
      <c r="E110" s="9" t="s">
        <v>55</v>
      </c>
      <c r="F110" s="9" t="s">
        <v>56</v>
      </c>
      <c r="G110" s="9" t="s">
        <v>46</v>
      </c>
      <c r="H110" s="9" t="s">
        <v>47</v>
      </c>
      <c r="I110" s="6">
        <v>210</v>
      </c>
      <c r="J110" s="8">
        <v>26.3</v>
      </c>
      <c r="K110" s="6">
        <v>210</v>
      </c>
      <c r="L110" s="6">
        <v>210</v>
      </c>
      <c r="M110" s="6">
        <v>2100</v>
      </c>
      <c r="N110" s="9" t="s">
        <v>42</v>
      </c>
      <c r="O110" s="9" t="s">
        <v>48</v>
      </c>
      <c r="P110" s="9" t="s">
        <v>41</v>
      </c>
      <c r="Q110" s="9" t="s">
        <v>287</v>
      </c>
      <c r="R110" s="9" t="s">
        <v>288</v>
      </c>
      <c r="S110" s="9" t="s">
        <v>289</v>
      </c>
      <c r="T110" s="9" t="s">
        <v>290</v>
      </c>
      <c r="U110" s="9" t="s">
        <v>39</v>
      </c>
      <c r="V110">
        <v>134719</v>
      </c>
      <c r="W110" s="1">
        <v>45883</v>
      </c>
      <c r="X110" s="9" t="s">
        <v>53</v>
      </c>
      <c r="Y110">
        <v>154552</v>
      </c>
      <c r="Z110" s="1">
        <v>45877</v>
      </c>
      <c r="AA110" s="1">
        <v>45877</v>
      </c>
      <c r="AB110" s="1">
        <v>45883</v>
      </c>
      <c r="AC110" s="1">
        <v>45883</v>
      </c>
      <c r="AD110" s="1">
        <v>45883</v>
      </c>
      <c r="AE110" s="1">
        <v>45883</v>
      </c>
      <c r="AF110" s="1">
        <v>45883</v>
      </c>
      <c r="AG110" s="1"/>
      <c r="AH110" s="1"/>
      <c r="AI110" s="1"/>
      <c r="AJ110" s="1"/>
      <c r="AK110" s="1"/>
      <c r="AL110" s="1"/>
      <c r="AM110" s="9" t="s">
        <v>619</v>
      </c>
      <c r="AN110" s="2">
        <f>+Pedidos_Pistachos[[#This Row],[CantidadPedida]]</f>
        <v>210</v>
      </c>
      <c r="AO110" s="2">
        <f>+Pedidos_Pistachos[[#This Row],[Cajas]]*2</f>
        <v>420</v>
      </c>
    </row>
    <row r="111" spans="1:41" x14ac:dyDescent="0.25">
      <c r="A111">
        <v>77345</v>
      </c>
      <c r="B111">
        <v>1</v>
      </c>
      <c r="C111" s="9" t="s">
        <v>40</v>
      </c>
      <c r="D111" s="9" t="s">
        <v>121</v>
      </c>
      <c r="E111" s="9" t="s">
        <v>61</v>
      </c>
      <c r="F111" s="9" t="s">
        <v>62</v>
      </c>
      <c r="G111" s="9" t="s">
        <v>46</v>
      </c>
      <c r="H111" s="9" t="s">
        <v>47</v>
      </c>
      <c r="I111" s="6">
        <v>140</v>
      </c>
      <c r="J111" s="8">
        <v>17.75</v>
      </c>
      <c r="K111" s="6">
        <v>140</v>
      </c>
      <c r="L111" s="6">
        <v>140</v>
      </c>
      <c r="M111" s="6">
        <v>1400</v>
      </c>
      <c r="N111" s="9" t="s">
        <v>42</v>
      </c>
      <c r="O111" s="9" t="s">
        <v>48</v>
      </c>
      <c r="P111" s="9" t="s">
        <v>41</v>
      </c>
      <c r="Q111" s="9" t="s">
        <v>214</v>
      </c>
      <c r="R111" s="9" t="s">
        <v>215</v>
      </c>
      <c r="S111" s="9" t="s">
        <v>216</v>
      </c>
      <c r="T111" s="9" t="s">
        <v>217</v>
      </c>
      <c r="U111" s="9" t="s">
        <v>39</v>
      </c>
      <c r="V111">
        <v>134743</v>
      </c>
      <c r="W111" s="1">
        <v>45883</v>
      </c>
      <c r="X111" s="9" t="s">
        <v>53</v>
      </c>
      <c r="Y111">
        <v>153046</v>
      </c>
      <c r="Z111" s="1">
        <v>45868</v>
      </c>
      <c r="AA111" s="1">
        <v>45868</v>
      </c>
      <c r="AB111" s="1">
        <v>45883</v>
      </c>
      <c r="AC111" s="1">
        <v>45883</v>
      </c>
      <c r="AD111" s="1">
        <v>45883</v>
      </c>
      <c r="AE111" s="1">
        <v>45883</v>
      </c>
      <c r="AF111" s="1">
        <v>45883</v>
      </c>
      <c r="AG111" s="1"/>
      <c r="AH111" s="1"/>
      <c r="AI111" s="1"/>
      <c r="AJ111" s="1"/>
      <c r="AK111" s="1"/>
      <c r="AL111" s="1"/>
      <c r="AM111" s="9" t="s">
        <v>619</v>
      </c>
      <c r="AN111" s="2">
        <f>+Pedidos_Pistachos[[#This Row],[CantidadPedida]]</f>
        <v>140</v>
      </c>
      <c r="AO111" s="2">
        <f>+Pedidos_Pistachos[[#This Row],[Cajas]]*2</f>
        <v>280</v>
      </c>
    </row>
    <row r="112" spans="1:41" x14ac:dyDescent="0.25">
      <c r="A112">
        <v>76579</v>
      </c>
      <c r="B112">
        <v>1</v>
      </c>
      <c r="C112" s="9" t="s">
        <v>40</v>
      </c>
      <c r="D112" s="9" t="s">
        <v>132</v>
      </c>
      <c r="E112" s="9" t="s">
        <v>55</v>
      </c>
      <c r="F112" s="9" t="s">
        <v>56</v>
      </c>
      <c r="G112" s="9" t="s">
        <v>46</v>
      </c>
      <c r="H112" s="9" t="s">
        <v>47</v>
      </c>
      <c r="I112" s="6">
        <v>210</v>
      </c>
      <c r="J112" s="8">
        <v>31.3</v>
      </c>
      <c r="K112" s="6">
        <v>210</v>
      </c>
      <c r="L112" s="6">
        <v>210</v>
      </c>
      <c r="M112" s="6">
        <v>2100</v>
      </c>
      <c r="N112" s="9" t="s">
        <v>42</v>
      </c>
      <c r="O112" s="9" t="s">
        <v>48</v>
      </c>
      <c r="P112" s="9" t="s">
        <v>41</v>
      </c>
      <c r="Q112" s="9" t="s">
        <v>133</v>
      </c>
      <c r="R112" s="9" t="s">
        <v>134</v>
      </c>
      <c r="S112" s="9" t="s">
        <v>135</v>
      </c>
      <c r="T112" s="9" t="s">
        <v>136</v>
      </c>
      <c r="U112" s="9" t="s">
        <v>39</v>
      </c>
      <c r="V112">
        <v>134747</v>
      </c>
      <c r="W112" s="1">
        <v>45883</v>
      </c>
      <c r="X112" s="9" t="s">
        <v>53</v>
      </c>
      <c r="Y112">
        <v>149160</v>
      </c>
      <c r="Z112" s="1">
        <v>45846</v>
      </c>
      <c r="AA112" s="1">
        <v>45848</v>
      </c>
      <c r="AB112" s="1">
        <v>45883</v>
      </c>
      <c r="AC112" s="1">
        <v>45883</v>
      </c>
      <c r="AD112" s="1">
        <v>45883</v>
      </c>
      <c r="AE112" s="1">
        <v>45883</v>
      </c>
      <c r="AF112" s="1">
        <v>45883</v>
      </c>
      <c r="AG112" s="1"/>
      <c r="AH112" s="1"/>
      <c r="AI112" s="1"/>
      <c r="AJ112" s="1"/>
      <c r="AK112" s="1"/>
      <c r="AL112" s="1"/>
      <c r="AM112" s="9" t="s">
        <v>619</v>
      </c>
      <c r="AN112" s="2">
        <f>+Pedidos_Pistachos[[#This Row],[CantidadPedida]]</f>
        <v>210</v>
      </c>
      <c r="AO112" s="2">
        <f>+Pedidos_Pistachos[[#This Row],[Cajas]]*2</f>
        <v>420</v>
      </c>
    </row>
    <row r="113" spans="1:41" x14ac:dyDescent="0.25">
      <c r="A113">
        <v>77891</v>
      </c>
      <c r="B113">
        <v>1</v>
      </c>
      <c r="C113" s="9" t="s">
        <v>40</v>
      </c>
      <c r="D113" s="9" t="s">
        <v>121</v>
      </c>
      <c r="E113" s="9" t="s">
        <v>61</v>
      </c>
      <c r="F113" s="9" t="s">
        <v>62</v>
      </c>
      <c r="G113" s="9" t="s">
        <v>46</v>
      </c>
      <c r="H113" s="9" t="s">
        <v>47</v>
      </c>
      <c r="I113" s="6">
        <v>70</v>
      </c>
      <c r="J113" s="8">
        <v>20.8</v>
      </c>
      <c r="K113" s="6">
        <v>70</v>
      </c>
      <c r="L113" s="6">
        <v>70</v>
      </c>
      <c r="M113" s="6">
        <v>700</v>
      </c>
      <c r="N113" s="9" t="s">
        <v>42</v>
      </c>
      <c r="O113" s="9" t="s">
        <v>48</v>
      </c>
      <c r="P113" s="9" t="s">
        <v>41</v>
      </c>
      <c r="Q113" s="9" t="s">
        <v>214</v>
      </c>
      <c r="R113" s="9" t="s">
        <v>574</v>
      </c>
      <c r="S113" s="9" t="s">
        <v>216</v>
      </c>
      <c r="T113" s="9" t="s">
        <v>217</v>
      </c>
      <c r="U113" s="9" t="s">
        <v>39</v>
      </c>
      <c r="V113">
        <v>135044</v>
      </c>
      <c r="W113" s="1">
        <v>45884</v>
      </c>
      <c r="X113" s="9" t="s">
        <v>53</v>
      </c>
      <c r="Y113">
        <v>155703</v>
      </c>
      <c r="Z113" s="1">
        <v>45884</v>
      </c>
      <c r="AA113" s="1">
        <v>45884</v>
      </c>
      <c r="AB113" s="1">
        <v>45884</v>
      </c>
      <c r="AC113" s="1">
        <v>45884</v>
      </c>
      <c r="AD113" s="1">
        <v>45884</v>
      </c>
      <c r="AE113" s="1">
        <v>45884</v>
      </c>
      <c r="AF113" s="1">
        <v>45884</v>
      </c>
      <c r="AG113" s="1"/>
      <c r="AH113" s="1"/>
      <c r="AI113" s="1"/>
      <c r="AJ113" s="1"/>
      <c r="AK113" s="1"/>
      <c r="AL113" s="1"/>
      <c r="AM113" s="9" t="s">
        <v>619</v>
      </c>
      <c r="AN113" s="2">
        <f>+Pedidos_Pistachos[[#This Row],[CantidadPedida]]</f>
        <v>70</v>
      </c>
      <c r="AO113" s="2">
        <f>+Pedidos_Pistachos[[#This Row],[Cajas]]*2</f>
        <v>140</v>
      </c>
    </row>
    <row r="114" spans="1:41" x14ac:dyDescent="0.25">
      <c r="A114">
        <v>77890</v>
      </c>
      <c r="B114">
        <v>1</v>
      </c>
      <c r="C114" s="9" t="s">
        <v>40</v>
      </c>
      <c r="D114" s="9" t="s">
        <v>143</v>
      </c>
      <c r="E114" s="9" t="s">
        <v>218</v>
      </c>
      <c r="F114" s="9" t="s">
        <v>219</v>
      </c>
      <c r="G114" s="9" t="s">
        <v>46</v>
      </c>
      <c r="H114" s="9" t="s">
        <v>47</v>
      </c>
      <c r="I114" s="6">
        <v>140</v>
      </c>
      <c r="J114" s="8">
        <v>37.9</v>
      </c>
      <c r="K114" s="6">
        <v>140</v>
      </c>
      <c r="L114" s="6">
        <v>140</v>
      </c>
      <c r="M114" s="6">
        <v>1400</v>
      </c>
      <c r="N114" s="9" t="s">
        <v>42</v>
      </c>
      <c r="O114" s="9" t="s">
        <v>48</v>
      </c>
      <c r="P114" s="9" t="s">
        <v>41</v>
      </c>
      <c r="Q114" s="9" t="s">
        <v>570</v>
      </c>
      <c r="R114" s="9" t="s">
        <v>571</v>
      </c>
      <c r="S114" s="9" t="s">
        <v>572</v>
      </c>
      <c r="T114" s="9" t="s">
        <v>573</v>
      </c>
      <c r="U114" s="9" t="s">
        <v>39</v>
      </c>
      <c r="V114">
        <v>135043</v>
      </c>
      <c r="W114" s="1">
        <v>45884</v>
      </c>
      <c r="X114" s="9" t="s">
        <v>53</v>
      </c>
      <c r="Y114">
        <v>155702</v>
      </c>
      <c r="Z114" s="1">
        <v>45884</v>
      </c>
      <c r="AA114" s="1">
        <v>45884</v>
      </c>
      <c r="AB114" s="1">
        <v>45884</v>
      </c>
      <c r="AC114" s="1">
        <v>45884</v>
      </c>
      <c r="AD114" s="1">
        <v>45884</v>
      </c>
      <c r="AE114" s="1">
        <v>45884</v>
      </c>
      <c r="AF114" s="1">
        <v>45884</v>
      </c>
      <c r="AG114" s="1"/>
      <c r="AH114" s="1"/>
      <c r="AI114" s="1"/>
      <c r="AJ114" s="1"/>
      <c r="AK114" s="1"/>
      <c r="AL114" s="1"/>
      <c r="AM114" s="9" t="s">
        <v>619</v>
      </c>
      <c r="AN114" s="2">
        <f>+Pedidos_Pistachos[[#This Row],[CantidadPedida]]</f>
        <v>140</v>
      </c>
      <c r="AO114" s="2">
        <f>+Pedidos_Pistachos[[#This Row],[Cajas]]*2</f>
        <v>280</v>
      </c>
    </row>
    <row r="115" spans="1:41" x14ac:dyDescent="0.25">
      <c r="A115">
        <v>77889</v>
      </c>
      <c r="B115">
        <v>2</v>
      </c>
      <c r="C115" s="9" t="s">
        <v>40</v>
      </c>
      <c r="D115" s="9" t="s">
        <v>252</v>
      </c>
      <c r="E115" s="9" t="s">
        <v>218</v>
      </c>
      <c r="F115" s="9" t="s">
        <v>219</v>
      </c>
      <c r="G115" s="9" t="s">
        <v>46</v>
      </c>
      <c r="H115" s="9" t="s">
        <v>47</v>
      </c>
      <c r="I115" s="6">
        <v>140</v>
      </c>
      <c r="J115" s="8">
        <v>36</v>
      </c>
      <c r="K115" s="6">
        <v>140</v>
      </c>
      <c r="L115" s="6">
        <v>140</v>
      </c>
      <c r="M115" s="6">
        <v>1400</v>
      </c>
      <c r="N115" s="9" t="s">
        <v>42</v>
      </c>
      <c r="O115" s="9" t="s">
        <v>48</v>
      </c>
      <c r="P115" s="9" t="s">
        <v>41</v>
      </c>
      <c r="Q115" s="9" t="s">
        <v>566</v>
      </c>
      <c r="R115" s="9" t="s">
        <v>567</v>
      </c>
      <c r="S115" s="9" t="s">
        <v>568</v>
      </c>
      <c r="T115" s="9" t="s">
        <v>569</v>
      </c>
      <c r="U115" s="9" t="s">
        <v>39</v>
      </c>
      <c r="V115">
        <v>135039</v>
      </c>
      <c r="W115" s="1">
        <v>45884</v>
      </c>
      <c r="X115" s="9" t="s">
        <v>53</v>
      </c>
      <c r="Y115">
        <v>155701</v>
      </c>
      <c r="Z115" s="1">
        <v>45884</v>
      </c>
      <c r="AA115" s="1">
        <v>45884</v>
      </c>
      <c r="AB115" s="1">
        <v>45884</v>
      </c>
      <c r="AC115" s="1">
        <v>45884</v>
      </c>
      <c r="AD115" s="1">
        <v>45884</v>
      </c>
      <c r="AE115" s="1">
        <v>45884</v>
      </c>
      <c r="AF115" s="1">
        <v>45884</v>
      </c>
      <c r="AG115" s="1"/>
      <c r="AH115" s="1"/>
      <c r="AI115" s="1"/>
      <c r="AJ115" s="1"/>
      <c r="AK115" s="1"/>
      <c r="AL115" s="1"/>
      <c r="AM115" s="9" t="s">
        <v>619</v>
      </c>
      <c r="AN115" s="2">
        <f>+Pedidos_Pistachos[[#This Row],[CantidadPedida]]</f>
        <v>140</v>
      </c>
      <c r="AO115" s="2">
        <f>+Pedidos_Pistachos[[#This Row],[Cajas]]*2</f>
        <v>280</v>
      </c>
    </row>
    <row r="116" spans="1:41" x14ac:dyDescent="0.25">
      <c r="A116">
        <v>77889</v>
      </c>
      <c r="B116">
        <v>1</v>
      </c>
      <c r="C116" s="9" t="s">
        <v>40</v>
      </c>
      <c r="D116" s="9" t="s">
        <v>252</v>
      </c>
      <c r="E116" s="9" t="s">
        <v>218</v>
      </c>
      <c r="F116" s="9" t="s">
        <v>219</v>
      </c>
      <c r="G116" s="9" t="s">
        <v>46</v>
      </c>
      <c r="H116" s="9" t="s">
        <v>47</v>
      </c>
      <c r="I116" s="6">
        <v>70</v>
      </c>
      <c r="J116" s="8">
        <v>37.9</v>
      </c>
      <c r="K116" s="6">
        <v>70</v>
      </c>
      <c r="L116" s="6">
        <v>70</v>
      </c>
      <c r="M116" s="6">
        <v>700</v>
      </c>
      <c r="N116" s="9" t="s">
        <v>42</v>
      </c>
      <c r="O116" s="9" t="s">
        <v>48</v>
      </c>
      <c r="P116" s="9" t="s">
        <v>41</v>
      </c>
      <c r="Q116" s="9" t="s">
        <v>562</v>
      </c>
      <c r="R116" s="9" t="s">
        <v>563</v>
      </c>
      <c r="S116" s="9" t="s">
        <v>564</v>
      </c>
      <c r="T116" s="9" t="s">
        <v>565</v>
      </c>
      <c r="U116" s="9" t="s">
        <v>39</v>
      </c>
      <c r="V116">
        <v>135040</v>
      </c>
      <c r="W116" s="1">
        <v>45884</v>
      </c>
      <c r="X116" s="9" t="s">
        <v>53</v>
      </c>
      <c r="Y116">
        <v>155700</v>
      </c>
      <c r="Z116" s="1">
        <v>45884</v>
      </c>
      <c r="AA116" s="1">
        <v>45884</v>
      </c>
      <c r="AB116" s="1">
        <v>45884</v>
      </c>
      <c r="AC116" s="1">
        <v>45884</v>
      </c>
      <c r="AD116" s="1">
        <v>45884</v>
      </c>
      <c r="AE116" s="1">
        <v>45884</v>
      </c>
      <c r="AF116" s="1">
        <v>45884</v>
      </c>
      <c r="AG116" s="1"/>
      <c r="AH116" s="1"/>
      <c r="AI116" s="1"/>
      <c r="AJ116" s="1"/>
      <c r="AK116" s="1"/>
      <c r="AL116" s="1"/>
      <c r="AM116" s="9" t="s">
        <v>619</v>
      </c>
      <c r="AN116" s="2">
        <f>+Pedidos_Pistachos[[#This Row],[CantidadPedida]]</f>
        <v>70</v>
      </c>
      <c r="AO116" s="2">
        <f>+Pedidos_Pistachos[[#This Row],[Cajas]]*2</f>
        <v>140</v>
      </c>
    </row>
    <row r="117" spans="1:41" x14ac:dyDescent="0.25">
      <c r="A117">
        <v>77694</v>
      </c>
      <c r="B117">
        <v>3</v>
      </c>
      <c r="C117" s="9" t="s">
        <v>40</v>
      </c>
      <c r="D117" s="9" t="s">
        <v>513</v>
      </c>
      <c r="E117" s="9" t="s">
        <v>55</v>
      </c>
      <c r="F117" s="9" t="s">
        <v>56</v>
      </c>
      <c r="G117" s="9" t="s">
        <v>46</v>
      </c>
      <c r="H117" s="9" t="s">
        <v>47</v>
      </c>
      <c r="I117" s="6">
        <v>1</v>
      </c>
      <c r="J117" s="8">
        <v>26.3</v>
      </c>
      <c r="K117" s="6">
        <v>1</v>
      </c>
      <c r="L117" s="6">
        <v>1</v>
      </c>
      <c r="M117" s="6">
        <v>10</v>
      </c>
      <c r="N117" s="9" t="s">
        <v>42</v>
      </c>
      <c r="O117" s="9" t="s">
        <v>48</v>
      </c>
      <c r="P117" s="9" t="s">
        <v>41</v>
      </c>
      <c r="Q117" s="9" t="s">
        <v>514</v>
      </c>
      <c r="R117" s="9" t="s">
        <v>519</v>
      </c>
      <c r="S117" s="9" t="s">
        <v>516</v>
      </c>
      <c r="T117" s="9" t="s">
        <v>517</v>
      </c>
      <c r="U117" s="9" t="s">
        <v>39</v>
      </c>
      <c r="V117">
        <v>134873</v>
      </c>
      <c r="W117" s="1">
        <v>45884</v>
      </c>
      <c r="X117" s="9" t="s">
        <v>53</v>
      </c>
      <c r="Y117">
        <v>154818</v>
      </c>
      <c r="Z117" s="1">
        <v>45880</v>
      </c>
      <c r="AA117" s="1">
        <v>45880</v>
      </c>
      <c r="AB117" s="1">
        <v>45884</v>
      </c>
      <c r="AC117" s="1">
        <v>45884</v>
      </c>
      <c r="AD117" s="1">
        <v>45884</v>
      </c>
      <c r="AE117" s="1">
        <v>45884</v>
      </c>
      <c r="AF117" s="1">
        <v>45884</v>
      </c>
      <c r="AG117" s="1"/>
      <c r="AH117" s="1"/>
      <c r="AI117" s="1"/>
      <c r="AJ117" s="1"/>
      <c r="AK117" s="1"/>
      <c r="AL117" s="1"/>
      <c r="AM117" s="9" t="s">
        <v>619</v>
      </c>
      <c r="AN117" s="2">
        <f>+Pedidos_Pistachos[[#This Row],[CantidadPedida]]</f>
        <v>1</v>
      </c>
      <c r="AO117" s="2">
        <f>+Pedidos_Pistachos[[#This Row],[Cajas]]*2</f>
        <v>2</v>
      </c>
    </row>
    <row r="118" spans="1:41" x14ac:dyDescent="0.25">
      <c r="A118">
        <v>77682</v>
      </c>
      <c r="B118">
        <v>2</v>
      </c>
      <c r="C118" s="9" t="s">
        <v>40</v>
      </c>
      <c r="D118" s="9" t="s">
        <v>449</v>
      </c>
      <c r="E118" s="9" t="s">
        <v>61</v>
      </c>
      <c r="F118" s="9" t="s">
        <v>62</v>
      </c>
      <c r="G118" s="9" t="s">
        <v>46</v>
      </c>
      <c r="H118" s="9" t="s">
        <v>47</v>
      </c>
      <c r="I118" s="6">
        <v>60</v>
      </c>
      <c r="J118" s="8">
        <v>14.75</v>
      </c>
      <c r="K118" s="6">
        <v>60</v>
      </c>
      <c r="L118" s="6">
        <v>60</v>
      </c>
      <c r="M118" s="6">
        <v>600</v>
      </c>
      <c r="N118" s="9" t="s">
        <v>42</v>
      </c>
      <c r="O118" s="9" t="s">
        <v>48</v>
      </c>
      <c r="P118" s="9" t="s">
        <v>41</v>
      </c>
      <c r="Q118" s="9" t="s">
        <v>450</v>
      </c>
      <c r="R118" s="9" t="s">
        <v>549</v>
      </c>
      <c r="S118" s="9" t="s">
        <v>452</v>
      </c>
      <c r="T118" s="9" t="s">
        <v>453</v>
      </c>
      <c r="U118" s="9" t="s">
        <v>39</v>
      </c>
      <c r="V118">
        <v>134864</v>
      </c>
      <c r="W118" s="1">
        <v>45884</v>
      </c>
      <c r="X118" s="9" t="s">
        <v>53</v>
      </c>
      <c r="Y118">
        <v>155210</v>
      </c>
      <c r="Z118" s="1">
        <v>45883</v>
      </c>
      <c r="AA118" s="1">
        <v>45883</v>
      </c>
      <c r="AB118" s="1">
        <v>45884</v>
      </c>
      <c r="AC118" s="1">
        <v>45884</v>
      </c>
      <c r="AD118" s="1">
        <v>45884</v>
      </c>
      <c r="AE118" s="1">
        <v>45884</v>
      </c>
      <c r="AF118" s="1">
        <v>45884</v>
      </c>
      <c r="AG118" s="1"/>
      <c r="AH118" s="1"/>
      <c r="AI118" s="1"/>
      <c r="AJ118" s="1"/>
      <c r="AK118" s="1"/>
      <c r="AL118" s="1"/>
      <c r="AM118" s="9" t="s">
        <v>619</v>
      </c>
      <c r="AN118" s="2">
        <f>+Pedidos_Pistachos[[#This Row],[CantidadPedida]]</f>
        <v>60</v>
      </c>
      <c r="AO118" s="2">
        <f>+Pedidos_Pistachos[[#This Row],[Cajas]]*2</f>
        <v>120</v>
      </c>
    </row>
    <row r="119" spans="1:41" x14ac:dyDescent="0.25">
      <c r="A119">
        <v>77665</v>
      </c>
      <c r="B119">
        <v>1</v>
      </c>
      <c r="C119" s="9" t="s">
        <v>40</v>
      </c>
      <c r="D119" s="9" t="s">
        <v>167</v>
      </c>
      <c r="E119" s="9" t="s">
        <v>55</v>
      </c>
      <c r="F119" s="9" t="s">
        <v>56</v>
      </c>
      <c r="G119" s="9" t="s">
        <v>46</v>
      </c>
      <c r="H119" s="9" t="s">
        <v>47</v>
      </c>
      <c r="I119" s="6">
        <v>840</v>
      </c>
      <c r="J119" s="8">
        <v>26.3</v>
      </c>
      <c r="K119" s="6">
        <v>840</v>
      </c>
      <c r="L119" s="6">
        <v>840</v>
      </c>
      <c r="M119" s="6">
        <v>8400</v>
      </c>
      <c r="N119" s="9" t="s">
        <v>42</v>
      </c>
      <c r="O119" s="9" t="s">
        <v>48</v>
      </c>
      <c r="P119" s="9" t="s">
        <v>41</v>
      </c>
      <c r="Q119" s="9" t="s">
        <v>393</v>
      </c>
      <c r="R119" s="9" t="s">
        <v>394</v>
      </c>
      <c r="S119" s="9" t="s">
        <v>395</v>
      </c>
      <c r="T119" s="9" t="s">
        <v>396</v>
      </c>
      <c r="U119" s="9" t="s">
        <v>39</v>
      </c>
      <c r="V119">
        <v>134877</v>
      </c>
      <c r="W119" s="1">
        <v>45884</v>
      </c>
      <c r="X119" s="9" t="s">
        <v>53</v>
      </c>
      <c r="Y119">
        <v>154652</v>
      </c>
      <c r="Z119" s="1">
        <v>45877</v>
      </c>
      <c r="AA119" s="1">
        <v>45877</v>
      </c>
      <c r="AB119" s="1">
        <v>45884</v>
      </c>
      <c r="AC119" s="1">
        <v>45884</v>
      </c>
      <c r="AD119" s="1">
        <v>45884</v>
      </c>
      <c r="AE119" s="1">
        <v>45884</v>
      </c>
      <c r="AF119" s="1">
        <v>45884</v>
      </c>
      <c r="AG119" s="1"/>
      <c r="AH119" s="1"/>
      <c r="AI119" s="1"/>
      <c r="AJ119" s="1"/>
      <c r="AK119" s="1"/>
      <c r="AL119" s="1"/>
      <c r="AM119" s="9" t="s">
        <v>619</v>
      </c>
      <c r="AN119" s="2">
        <f>+Pedidos_Pistachos[[#This Row],[CantidadPedida]]</f>
        <v>840</v>
      </c>
      <c r="AO119" s="2">
        <f>+Pedidos_Pistachos[[#This Row],[Cajas]]*2</f>
        <v>1680</v>
      </c>
    </row>
    <row r="120" spans="1:41" x14ac:dyDescent="0.25">
      <c r="A120">
        <v>77631</v>
      </c>
      <c r="B120">
        <v>2</v>
      </c>
      <c r="C120" s="9" t="s">
        <v>40</v>
      </c>
      <c r="D120" s="9" t="s">
        <v>199</v>
      </c>
      <c r="E120" s="9" t="s">
        <v>61</v>
      </c>
      <c r="F120" s="9" t="s">
        <v>62</v>
      </c>
      <c r="G120" s="9" t="s">
        <v>46</v>
      </c>
      <c r="H120" s="9" t="s">
        <v>47</v>
      </c>
      <c r="I120" s="6">
        <v>560</v>
      </c>
      <c r="J120" s="8">
        <v>14.75</v>
      </c>
      <c r="K120" s="6">
        <v>560</v>
      </c>
      <c r="L120" s="6">
        <v>560</v>
      </c>
      <c r="M120" s="6">
        <v>5600</v>
      </c>
      <c r="N120" s="9" t="s">
        <v>42</v>
      </c>
      <c r="O120" s="9" t="s">
        <v>48</v>
      </c>
      <c r="P120" s="9" t="s">
        <v>41</v>
      </c>
      <c r="Q120" s="9" t="s">
        <v>291</v>
      </c>
      <c r="R120" s="9" t="s">
        <v>292</v>
      </c>
      <c r="S120" s="9" t="s">
        <v>293</v>
      </c>
      <c r="T120" s="9" t="s">
        <v>294</v>
      </c>
      <c r="U120" s="9" t="s">
        <v>39</v>
      </c>
      <c r="V120">
        <v>134878</v>
      </c>
      <c r="W120" s="1">
        <v>45884</v>
      </c>
      <c r="X120" s="9" t="s">
        <v>53</v>
      </c>
      <c r="Y120">
        <v>154553</v>
      </c>
      <c r="Z120" s="1">
        <v>45877</v>
      </c>
      <c r="AA120" s="1">
        <v>45883</v>
      </c>
      <c r="AB120" s="1">
        <v>45884</v>
      </c>
      <c r="AC120" s="1">
        <v>45884</v>
      </c>
      <c r="AD120" s="1">
        <v>45884</v>
      </c>
      <c r="AE120" s="1">
        <v>45884</v>
      </c>
      <c r="AF120" s="1">
        <v>45884</v>
      </c>
      <c r="AG120" s="1"/>
      <c r="AH120" s="1"/>
      <c r="AI120" s="1"/>
      <c r="AJ120" s="1"/>
      <c r="AK120" s="1"/>
      <c r="AL120" s="1"/>
      <c r="AM120" s="9" t="s">
        <v>619</v>
      </c>
      <c r="AN120" s="2">
        <f>+Pedidos_Pistachos[[#This Row],[CantidadPedida]]</f>
        <v>560</v>
      </c>
      <c r="AO120" s="2">
        <f>+Pedidos_Pistachos[[#This Row],[Cajas]]*2</f>
        <v>1120</v>
      </c>
    </row>
    <row r="121" spans="1:41" x14ac:dyDescent="0.25">
      <c r="A121">
        <v>76579</v>
      </c>
      <c r="B121">
        <v>2</v>
      </c>
      <c r="C121" s="9" t="s">
        <v>40</v>
      </c>
      <c r="D121" s="9" t="s">
        <v>132</v>
      </c>
      <c r="E121" s="9" t="s">
        <v>61</v>
      </c>
      <c r="F121" s="9" t="s">
        <v>62</v>
      </c>
      <c r="G121" s="9" t="s">
        <v>46</v>
      </c>
      <c r="H121" s="9" t="s">
        <v>47</v>
      </c>
      <c r="I121" s="6">
        <v>70</v>
      </c>
      <c r="J121" s="8">
        <v>17.75</v>
      </c>
      <c r="K121" s="6">
        <v>70</v>
      </c>
      <c r="L121" s="6">
        <v>70</v>
      </c>
      <c r="M121" s="6">
        <v>700</v>
      </c>
      <c r="N121" s="9" t="s">
        <v>42</v>
      </c>
      <c r="O121" s="9" t="s">
        <v>48</v>
      </c>
      <c r="P121" s="9" t="s">
        <v>41</v>
      </c>
      <c r="Q121" s="9" t="s">
        <v>133</v>
      </c>
      <c r="R121" s="9" t="s">
        <v>137</v>
      </c>
      <c r="S121" s="9" t="s">
        <v>135</v>
      </c>
      <c r="T121" s="9" t="s">
        <v>136</v>
      </c>
      <c r="U121" s="9" t="s">
        <v>39</v>
      </c>
      <c r="V121">
        <v>134879</v>
      </c>
      <c r="W121" s="1">
        <v>45884</v>
      </c>
      <c r="X121" s="9" t="s">
        <v>53</v>
      </c>
      <c r="Y121">
        <v>149161</v>
      </c>
      <c r="Z121" s="1">
        <v>45846</v>
      </c>
      <c r="AA121" s="1">
        <v>45883</v>
      </c>
      <c r="AB121" s="1">
        <v>45884</v>
      </c>
      <c r="AC121" s="1">
        <v>45884</v>
      </c>
      <c r="AD121" s="1">
        <v>45884</v>
      </c>
      <c r="AE121" s="1">
        <v>45884</v>
      </c>
      <c r="AF121" s="1">
        <v>45884</v>
      </c>
      <c r="AG121" s="1"/>
      <c r="AH121" s="1"/>
      <c r="AI121" s="1"/>
      <c r="AJ121" s="1"/>
      <c r="AK121" s="1"/>
      <c r="AL121" s="1"/>
      <c r="AM121" s="9" t="s">
        <v>619</v>
      </c>
      <c r="AN121" s="2">
        <f>+Pedidos_Pistachos[[#This Row],[CantidadPedida]]</f>
        <v>70</v>
      </c>
      <c r="AO121" s="2">
        <f>+Pedidos_Pistachos[[#This Row],[Cajas]]*2</f>
        <v>140</v>
      </c>
    </row>
    <row r="122" spans="1:41" x14ac:dyDescent="0.25">
      <c r="A122">
        <v>76193</v>
      </c>
      <c r="B122">
        <v>2</v>
      </c>
      <c r="C122" s="9" t="s">
        <v>40</v>
      </c>
      <c r="D122" s="9" t="s">
        <v>43</v>
      </c>
      <c r="E122" s="9" t="s">
        <v>126</v>
      </c>
      <c r="F122" s="9" t="s">
        <v>127</v>
      </c>
      <c r="G122" s="9" t="s">
        <v>46</v>
      </c>
      <c r="H122" s="9" t="s">
        <v>47</v>
      </c>
      <c r="I122" s="6">
        <v>420</v>
      </c>
      <c r="J122" s="8">
        <v>31.3</v>
      </c>
      <c r="K122" s="6">
        <v>420</v>
      </c>
      <c r="L122" s="6">
        <v>420</v>
      </c>
      <c r="M122" s="6">
        <v>4200</v>
      </c>
      <c r="N122" s="9" t="s">
        <v>42</v>
      </c>
      <c r="O122" s="9" t="s">
        <v>48</v>
      </c>
      <c r="P122" s="9" t="s">
        <v>41</v>
      </c>
      <c r="Q122" s="9" t="s">
        <v>128</v>
      </c>
      <c r="R122" s="9" t="s">
        <v>129</v>
      </c>
      <c r="S122" s="9" t="s">
        <v>130</v>
      </c>
      <c r="T122" s="9" t="s">
        <v>131</v>
      </c>
      <c r="U122" s="9" t="s">
        <v>39</v>
      </c>
      <c r="V122">
        <v>134998</v>
      </c>
      <c r="W122" s="1">
        <v>45884</v>
      </c>
      <c r="X122" s="9" t="s">
        <v>53</v>
      </c>
      <c r="Y122">
        <v>148405</v>
      </c>
      <c r="Z122" s="1">
        <v>45842</v>
      </c>
      <c r="AA122" s="1">
        <v>45842</v>
      </c>
      <c r="AB122" s="1">
        <v>45884</v>
      </c>
      <c r="AC122" s="1">
        <v>45884</v>
      </c>
      <c r="AD122" s="1">
        <v>45884</v>
      </c>
      <c r="AE122" s="1">
        <v>45884</v>
      </c>
      <c r="AF122" s="1">
        <v>45884</v>
      </c>
      <c r="AG122" s="1"/>
      <c r="AH122" s="1"/>
      <c r="AI122" s="1"/>
      <c r="AJ122" s="1"/>
      <c r="AK122" s="1"/>
      <c r="AL122" s="1"/>
      <c r="AM122" s="9" t="s">
        <v>619</v>
      </c>
      <c r="AN122" s="2">
        <f>+Pedidos_Pistachos[[#This Row],[CantidadPedida]]</f>
        <v>420</v>
      </c>
      <c r="AO122" s="2">
        <f>+Pedidos_Pistachos[[#This Row],[Cajas]]*2</f>
        <v>840</v>
      </c>
    </row>
    <row r="123" spans="1:41" x14ac:dyDescent="0.25">
      <c r="A123">
        <v>77906</v>
      </c>
      <c r="B123">
        <v>1</v>
      </c>
      <c r="C123" s="9" t="s">
        <v>38</v>
      </c>
      <c r="D123" s="9" t="s">
        <v>581</v>
      </c>
      <c r="E123" s="9" t="s">
        <v>55</v>
      </c>
      <c r="F123" s="9" t="s">
        <v>56</v>
      </c>
      <c r="G123" s="9" t="s">
        <v>46</v>
      </c>
      <c r="H123" s="9" t="s">
        <v>47</v>
      </c>
      <c r="I123" s="6">
        <v>15</v>
      </c>
      <c r="J123" s="8">
        <v>35.89</v>
      </c>
      <c r="K123" s="6">
        <v>15</v>
      </c>
      <c r="L123" s="6">
        <v>15</v>
      </c>
      <c r="M123" s="6">
        <v>150</v>
      </c>
      <c r="N123" s="9" t="s">
        <v>42</v>
      </c>
      <c r="O123" s="9" t="s">
        <v>48</v>
      </c>
      <c r="P123" s="9" t="s">
        <v>41</v>
      </c>
      <c r="Q123" s="9" t="s">
        <v>586</v>
      </c>
      <c r="R123" s="9" t="s">
        <v>587</v>
      </c>
      <c r="S123" s="9" t="s">
        <v>588</v>
      </c>
      <c r="T123" s="9" t="s">
        <v>589</v>
      </c>
      <c r="U123" s="9" t="s">
        <v>39</v>
      </c>
      <c r="V123">
        <v>135115</v>
      </c>
      <c r="W123" s="1">
        <v>45887</v>
      </c>
      <c r="X123" s="9" t="s">
        <v>53</v>
      </c>
      <c r="Y123">
        <v>155789</v>
      </c>
      <c r="Z123" s="1">
        <v>45887</v>
      </c>
      <c r="AA123" s="1">
        <v>45887</v>
      </c>
      <c r="AB123" s="1">
        <v>45887</v>
      </c>
      <c r="AC123" s="1">
        <v>45887</v>
      </c>
      <c r="AD123" s="1">
        <v>45887</v>
      </c>
      <c r="AE123" s="1">
        <v>45887</v>
      </c>
      <c r="AF123" s="1">
        <v>45887</v>
      </c>
      <c r="AG123" s="1"/>
      <c r="AH123" s="1"/>
      <c r="AI123" s="1"/>
      <c r="AJ123" s="1"/>
      <c r="AK123" s="1"/>
      <c r="AL123" s="1"/>
      <c r="AM123" s="9" t="s">
        <v>619</v>
      </c>
      <c r="AN123" s="2">
        <f>+Pedidos_Pistachos[[#This Row],[CantidadPedida]]</f>
        <v>15</v>
      </c>
      <c r="AO123" s="2">
        <f>+Pedidos_Pistachos[[#This Row],[Cajas]]*2</f>
        <v>30</v>
      </c>
    </row>
    <row r="124" spans="1:41" x14ac:dyDescent="0.25">
      <c r="A124">
        <v>77905</v>
      </c>
      <c r="B124">
        <v>1</v>
      </c>
      <c r="C124" s="9" t="s">
        <v>40</v>
      </c>
      <c r="D124" s="9" t="s">
        <v>581</v>
      </c>
      <c r="E124" s="9" t="s">
        <v>55</v>
      </c>
      <c r="F124" s="9" t="s">
        <v>56</v>
      </c>
      <c r="G124" s="9" t="s">
        <v>46</v>
      </c>
      <c r="H124" s="9" t="s">
        <v>47</v>
      </c>
      <c r="I124" s="6">
        <v>15</v>
      </c>
      <c r="J124" s="8">
        <v>37</v>
      </c>
      <c r="K124" s="6">
        <v>15</v>
      </c>
      <c r="L124" s="6">
        <v>15</v>
      </c>
      <c r="M124" s="6">
        <v>150</v>
      </c>
      <c r="N124" s="9" t="s">
        <v>42</v>
      </c>
      <c r="O124" s="9" t="s">
        <v>48</v>
      </c>
      <c r="P124" s="9" t="s">
        <v>41</v>
      </c>
      <c r="Q124" s="9" t="s">
        <v>582</v>
      </c>
      <c r="R124" s="9" t="s">
        <v>583</v>
      </c>
      <c r="S124" s="9" t="s">
        <v>584</v>
      </c>
      <c r="T124" s="9" t="s">
        <v>585</v>
      </c>
      <c r="U124" s="9" t="s">
        <v>39</v>
      </c>
      <c r="V124">
        <v>135116</v>
      </c>
      <c r="W124" s="1">
        <v>45887</v>
      </c>
      <c r="X124" s="9" t="s">
        <v>53</v>
      </c>
      <c r="Y124">
        <v>155788</v>
      </c>
      <c r="Z124" s="1">
        <v>45887</v>
      </c>
      <c r="AA124" s="1">
        <v>45887</v>
      </c>
      <c r="AB124" s="1">
        <v>45887</v>
      </c>
      <c r="AC124" s="1">
        <v>45887</v>
      </c>
      <c r="AD124" s="1">
        <v>45887</v>
      </c>
      <c r="AE124" s="1">
        <v>45887</v>
      </c>
      <c r="AF124" s="1">
        <v>45887</v>
      </c>
      <c r="AG124" s="1"/>
      <c r="AH124" s="1"/>
      <c r="AI124" s="1"/>
      <c r="AJ124" s="1"/>
      <c r="AK124" s="1"/>
      <c r="AL124" s="1"/>
      <c r="AM124" s="9" t="s">
        <v>619</v>
      </c>
      <c r="AN124" s="2">
        <f>+Pedidos_Pistachos[[#This Row],[CantidadPedida]]</f>
        <v>15</v>
      </c>
      <c r="AO124" s="2">
        <f>+Pedidos_Pistachos[[#This Row],[Cajas]]*2</f>
        <v>30</v>
      </c>
    </row>
    <row r="125" spans="1:41" x14ac:dyDescent="0.25">
      <c r="A125">
        <v>77903</v>
      </c>
      <c r="B125">
        <v>2</v>
      </c>
      <c r="C125" s="9" t="s">
        <v>40</v>
      </c>
      <c r="D125" s="9" t="s">
        <v>575</v>
      </c>
      <c r="E125" s="9" t="s">
        <v>55</v>
      </c>
      <c r="F125" s="9" t="s">
        <v>56</v>
      </c>
      <c r="G125" s="9" t="s">
        <v>46</v>
      </c>
      <c r="H125" s="9" t="s">
        <v>47</v>
      </c>
      <c r="I125" s="6">
        <v>20</v>
      </c>
      <c r="J125" s="8">
        <v>37</v>
      </c>
      <c r="K125" s="6">
        <v>20</v>
      </c>
      <c r="L125" s="6">
        <v>20</v>
      </c>
      <c r="M125" s="6">
        <v>200</v>
      </c>
      <c r="N125" s="9" t="s">
        <v>42</v>
      </c>
      <c r="O125" s="9" t="s">
        <v>48</v>
      </c>
      <c r="P125" s="9" t="s">
        <v>41</v>
      </c>
      <c r="Q125" s="9" t="s">
        <v>576</v>
      </c>
      <c r="R125" s="9" t="s">
        <v>580</v>
      </c>
      <c r="S125" s="9" t="s">
        <v>578</v>
      </c>
      <c r="T125" s="9" t="s">
        <v>579</v>
      </c>
      <c r="U125" s="9" t="s">
        <v>39</v>
      </c>
      <c r="V125">
        <v>135113</v>
      </c>
      <c r="W125" s="1">
        <v>45887</v>
      </c>
      <c r="X125" s="9" t="s">
        <v>53</v>
      </c>
      <c r="Y125">
        <v>155786</v>
      </c>
      <c r="Z125" s="1">
        <v>45887</v>
      </c>
      <c r="AA125" s="1">
        <v>45887</v>
      </c>
      <c r="AB125" s="1">
        <v>45887</v>
      </c>
      <c r="AC125" s="1">
        <v>45887</v>
      </c>
      <c r="AD125" s="1">
        <v>45887</v>
      </c>
      <c r="AE125" s="1">
        <v>45887</v>
      </c>
      <c r="AF125" s="1">
        <v>45887</v>
      </c>
      <c r="AG125" s="1"/>
      <c r="AH125" s="1"/>
      <c r="AI125" s="1"/>
      <c r="AJ125" s="1"/>
      <c r="AK125" s="1"/>
      <c r="AL125" s="1"/>
      <c r="AM125" s="9" t="s">
        <v>619</v>
      </c>
      <c r="AN125" s="2">
        <f>+Pedidos_Pistachos[[#This Row],[CantidadPedida]]</f>
        <v>20</v>
      </c>
      <c r="AO125" s="2">
        <f>+Pedidos_Pistachos[[#This Row],[Cajas]]*2</f>
        <v>40</v>
      </c>
    </row>
    <row r="126" spans="1:41" x14ac:dyDescent="0.25">
      <c r="A126">
        <v>77903</v>
      </c>
      <c r="B126">
        <v>1</v>
      </c>
      <c r="C126" s="9" t="s">
        <v>40</v>
      </c>
      <c r="D126" s="9" t="s">
        <v>575</v>
      </c>
      <c r="E126" s="9" t="s">
        <v>61</v>
      </c>
      <c r="F126" s="9" t="s">
        <v>62</v>
      </c>
      <c r="G126" s="9" t="s">
        <v>46</v>
      </c>
      <c r="H126" s="9" t="s">
        <v>47</v>
      </c>
      <c r="I126" s="6">
        <v>20</v>
      </c>
      <c r="J126" s="8">
        <v>20.8</v>
      </c>
      <c r="K126" s="6">
        <v>20</v>
      </c>
      <c r="L126" s="6">
        <v>20</v>
      </c>
      <c r="M126" s="6">
        <v>200</v>
      </c>
      <c r="N126" s="9" t="s">
        <v>42</v>
      </c>
      <c r="O126" s="9" t="s">
        <v>48</v>
      </c>
      <c r="P126" s="9" t="s">
        <v>41</v>
      </c>
      <c r="Q126" s="9" t="s">
        <v>576</v>
      </c>
      <c r="R126" s="9" t="s">
        <v>577</v>
      </c>
      <c r="S126" s="9" t="s">
        <v>578</v>
      </c>
      <c r="T126" s="9" t="s">
        <v>579</v>
      </c>
      <c r="U126" s="9" t="s">
        <v>39</v>
      </c>
      <c r="V126">
        <v>135114</v>
      </c>
      <c r="W126" s="1">
        <v>45887</v>
      </c>
      <c r="X126" s="9" t="s">
        <v>53</v>
      </c>
      <c r="Y126">
        <v>155785</v>
      </c>
      <c r="Z126" s="1">
        <v>45887</v>
      </c>
      <c r="AA126" s="1">
        <v>45887</v>
      </c>
      <c r="AB126" s="1">
        <v>45887</v>
      </c>
      <c r="AC126" s="1">
        <v>45887</v>
      </c>
      <c r="AD126" s="1">
        <v>45887</v>
      </c>
      <c r="AE126" s="1">
        <v>45887</v>
      </c>
      <c r="AF126" s="1">
        <v>45887</v>
      </c>
      <c r="AG126" s="1"/>
      <c r="AH126" s="1"/>
      <c r="AI126" s="1"/>
      <c r="AJ126" s="1"/>
      <c r="AK126" s="1"/>
      <c r="AL126" s="1"/>
      <c r="AM126" s="9" t="s">
        <v>619</v>
      </c>
      <c r="AN126" s="2">
        <f>+Pedidos_Pistachos[[#This Row],[CantidadPedida]]</f>
        <v>20</v>
      </c>
      <c r="AO126" s="2">
        <f>+Pedidos_Pistachos[[#This Row],[Cajas]]*2</f>
        <v>40</v>
      </c>
    </row>
    <row r="127" spans="1:41" x14ac:dyDescent="0.25">
      <c r="A127">
        <v>77974</v>
      </c>
      <c r="B127">
        <v>1</v>
      </c>
      <c r="C127" s="9" t="s">
        <v>40</v>
      </c>
      <c r="D127" s="9" t="s">
        <v>199</v>
      </c>
      <c r="E127" s="9" t="s">
        <v>594</v>
      </c>
      <c r="F127" s="9" t="s">
        <v>595</v>
      </c>
      <c r="G127" s="9" t="s">
        <v>46</v>
      </c>
      <c r="H127" s="9" t="s">
        <v>47</v>
      </c>
      <c r="I127" s="6">
        <v>70</v>
      </c>
      <c r="J127" s="8">
        <v>19.05</v>
      </c>
      <c r="K127" s="6">
        <v>70</v>
      </c>
      <c r="L127" s="6">
        <v>70</v>
      </c>
      <c r="M127" s="6">
        <v>700</v>
      </c>
      <c r="N127" s="9" t="s">
        <v>42</v>
      </c>
      <c r="O127" s="9" t="s">
        <v>48</v>
      </c>
      <c r="P127" s="9" t="s">
        <v>41</v>
      </c>
      <c r="Q127" s="9" t="s">
        <v>590</v>
      </c>
      <c r="R127" s="9" t="s">
        <v>596</v>
      </c>
      <c r="S127" s="9" t="s">
        <v>592</v>
      </c>
      <c r="T127" s="9" t="s">
        <v>593</v>
      </c>
      <c r="U127" s="9" t="s">
        <v>39</v>
      </c>
      <c r="V127">
        <v>135441</v>
      </c>
      <c r="W127" s="1">
        <v>45888</v>
      </c>
      <c r="X127" s="9" t="s">
        <v>53</v>
      </c>
      <c r="Y127">
        <v>156314</v>
      </c>
      <c r="Z127" s="1">
        <v>45888</v>
      </c>
      <c r="AA127" s="1">
        <v>45888</v>
      </c>
      <c r="AB127" s="1">
        <v>45888</v>
      </c>
      <c r="AC127" s="1">
        <v>45888</v>
      </c>
      <c r="AD127" s="1">
        <v>45888</v>
      </c>
      <c r="AE127" s="1">
        <v>45888</v>
      </c>
      <c r="AF127" s="1">
        <v>45888</v>
      </c>
      <c r="AG127" s="1"/>
      <c r="AH127" s="1"/>
      <c r="AI127" s="1"/>
      <c r="AJ127" s="1"/>
      <c r="AK127" s="1"/>
      <c r="AL127" s="1"/>
      <c r="AM127" s="9" t="s">
        <v>619</v>
      </c>
      <c r="AN127" s="2">
        <f>+Pedidos_Pistachos[[#This Row],[CantidadPedida]]</f>
        <v>70</v>
      </c>
      <c r="AO127" s="2">
        <f>+Pedidos_Pistachos[[#This Row],[Cajas]]*2</f>
        <v>140</v>
      </c>
    </row>
    <row r="128" spans="1:41" x14ac:dyDescent="0.25">
      <c r="A128">
        <v>77972</v>
      </c>
      <c r="B128">
        <v>1</v>
      </c>
      <c r="C128" s="9" t="s">
        <v>40</v>
      </c>
      <c r="D128" s="9" t="s">
        <v>199</v>
      </c>
      <c r="E128" s="9" t="s">
        <v>126</v>
      </c>
      <c r="F128" s="9" t="s">
        <v>127</v>
      </c>
      <c r="G128" s="9" t="s">
        <v>46</v>
      </c>
      <c r="H128" s="9" t="s">
        <v>47</v>
      </c>
      <c r="I128" s="6">
        <v>70</v>
      </c>
      <c r="J128" s="8">
        <v>37.9</v>
      </c>
      <c r="K128" s="6">
        <v>70</v>
      </c>
      <c r="L128" s="6">
        <v>70</v>
      </c>
      <c r="M128" s="6">
        <v>700</v>
      </c>
      <c r="N128" s="9" t="s">
        <v>42</v>
      </c>
      <c r="O128" s="9" t="s">
        <v>48</v>
      </c>
      <c r="P128" s="9" t="s">
        <v>41</v>
      </c>
      <c r="Q128" s="9" t="s">
        <v>590</v>
      </c>
      <c r="R128" s="9" t="s">
        <v>591</v>
      </c>
      <c r="S128" s="9" t="s">
        <v>592</v>
      </c>
      <c r="T128" s="9" t="s">
        <v>593</v>
      </c>
      <c r="U128" s="9" t="s">
        <v>39</v>
      </c>
      <c r="V128">
        <v>135442</v>
      </c>
      <c r="W128" s="1">
        <v>45888</v>
      </c>
      <c r="X128" s="9" t="s">
        <v>53</v>
      </c>
      <c r="Y128">
        <v>156282</v>
      </c>
      <c r="Z128" s="1">
        <v>45888</v>
      </c>
      <c r="AA128" s="1">
        <v>45888</v>
      </c>
      <c r="AB128" s="1">
        <v>45888</v>
      </c>
      <c r="AC128" s="1">
        <v>45888</v>
      </c>
      <c r="AD128" s="1">
        <v>45888</v>
      </c>
      <c r="AE128" s="1">
        <v>45888</v>
      </c>
      <c r="AF128" s="1">
        <v>45888</v>
      </c>
      <c r="AG128" s="1"/>
      <c r="AH128" s="1"/>
      <c r="AI128" s="1"/>
      <c r="AJ128" s="1"/>
      <c r="AK128" s="1"/>
      <c r="AL128" s="1"/>
      <c r="AM128" s="9" t="s">
        <v>619</v>
      </c>
      <c r="AN128" s="2">
        <f>+Pedidos_Pistachos[[#This Row],[CantidadPedida]]</f>
        <v>70</v>
      </c>
      <c r="AO128" s="2">
        <f>+Pedidos_Pistachos[[#This Row],[Cajas]]*2</f>
        <v>140</v>
      </c>
    </row>
    <row r="129" spans="1:41" x14ac:dyDescent="0.25">
      <c r="A129">
        <v>78041</v>
      </c>
      <c r="B129">
        <v>1</v>
      </c>
      <c r="C129" s="9" t="s">
        <v>40</v>
      </c>
      <c r="D129" s="9" t="s">
        <v>597</v>
      </c>
      <c r="E129" s="9" t="s">
        <v>126</v>
      </c>
      <c r="F129" s="9" t="s">
        <v>127</v>
      </c>
      <c r="G129" s="9" t="s">
        <v>46</v>
      </c>
      <c r="H129" s="9" t="s">
        <v>47</v>
      </c>
      <c r="I129" s="6">
        <v>1</v>
      </c>
      <c r="J129" s="8">
        <v>27</v>
      </c>
      <c r="K129" s="6">
        <v>1</v>
      </c>
      <c r="L129" s="6">
        <v>1</v>
      </c>
      <c r="M129" s="6">
        <v>10</v>
      </c>
      <c r="N129" s="9" t="s">
        <v>42</v>
      </c>
      <c r="O129" s="9" t="s">
        <v>48</v>
      </c>
      <c r="P129" s="9" t="s">
        <v>41</v>
      </c>
      <c r="Q129" s="9" t="s">
        <v>598</v>
      </c>
      <c r="R129" s="9" t="s">
        <v>599</v>
      </c>
      <c r="S129" s="9" t="s">
        <v>600</v>
      </c>
      <c r="T129" s="9" t="s">
        <v>601</v>
      </c>
      <c r="U129" s="9" t="s">
        <v>39</v>
      </c>
      <c r="V129">
        <v>135919</v>
      </c>
      <c r="W129" s="1">
        <v>45890</v>
      </c>
      <c r="X129" s="9" t="s">
        <v>53</v>
      </c>
      <c r="Y129">
        <v>156708</v>
      </c>
      <c r="Z129" s="1">
        <v>45890</v>
      </c>
      <c r="AA129" s="1">
        <v>45890</v>
      </c>
      <c r="AB129" s="1">
        <v>45890</v>
      </c>
      <c r="AC129" s="1">
        <v>45890</v>
      </c>
      <c r="AD129" s="1">
        <v>45890</v>
      </c>
      <c r="AE129" s="1">
        <v>45890</v>
      </c>
      <c r="AF129" s="1">
        <v>45890</v>
      </c>
      <c r="AG129" s="1"/>
      <c r="AH129" s="1"/>
      <c r="AI129" s="1"/>
      <c r="AJ129" s="1"/>
      <c r="AK129" s="1"/>
      <c r="AL129" s="1"/>
      <c r="AM129" s="9" t="s">
        <v>619</v>
      </c>
      <c r="AN129" s="2">
        <f>+Pedidos_Pistachos[[#This Row],[CantidadPedida]]</f>
        <v>1</v>
      </c>
      <c r="AO129" s="2">
        <f>+Pedidos_Pistachos[[#This Row],[Cajas]]*2</f>
        <v>2</v>
      </c>
    </row>
    <row r="130" spans="1:41" x14ac:dyDescent="0.25">
      <c r="A130">
        <v>78419</v>
      </c>
      <c r="B130">
        <v>1</v>
      </c>
      <c r="C130" s="9" t="s">
        <v>40</v>
      </c>
      <c r="D130" s="9" t="s">
        <v>167</v>
      </c>
      <c r="E130" s="9" t="s">
        <v>605</v>
      </c>
      <c r="F130" s="9" t="s">
        <v>606</v>
      </c>
      <c r="G130" s="9" t="s">
        <v>46</v>
      </c>
      <c r="H130" s="9" t="s">
        <v>47</v>
      </c>
      <c r="I130" s="6">
        <v>10</v>
      </c>
      <c r="J130" s="8">
        <v>25.067</v>
      </c>
      <c r="K130" s="6">
        <v>10</v>
      </c>
      <c r="L130" s="6">
        <v>10</v>
      </c>
      <c r="M130" s="6">
        <v>100</v>
      </c>
      <c r="N130" s="9" t="s">
        <v>42</v>
      </c>
      <c r="O130" s="9" t="s">
        <v>48</v>
      </c>
      <c r="P130" s="9" t="s">
        <v>41</v>
      </c>
      <c r="Q130" s="9" t="s">
        <v>542</v>
      </c>
      <c r="R130" s="9" t="s">
        <v>608</v>
      </c>
      <c r="S130" s="9" t="s">
        <v>544</v>
      </c>
      <c r="T130" s="9" t="s">
        <v>545</v>
      </c>
      <c r="U130" s="9" t="s">
        <v>39</v>
      </c>
      <c r="V130">
        <v>137482</v>
      </c>
      <c r="W130" s="1">
        <v>45902</v>
      </c>
      <c r="X130" s="9" t="s">
        <v>53</v>
      </c>
      <c r="Y130">
        <v>158544</v>
      </c>
      <c r="Z130" s="1">
        <v>45901</v>
      </c>
      <c r="AA130" s="1">
        <v>45901</v>
      </c>
      <c r="AB130" s="1">
        <v>45901</v>
      </c>
      <c r="AC130" s="1">
        <v>45901</v>
      </c>
      <c r="AD130" s="1">
        <v>45901</v>
      </c>
      <c r="AE130" s="1">
        <v>45901</v>
      </c>
      <c r="AF130" s="1">
        <v>45901</v>
      </c>
      <c r="AG130" s="1"/>
      <c r="AH130" s="1"/>
      <c r="AI130" s="1"/>
      <c r="AJ130" s="1"/>
      <c r="AK130" s="1"/>
      <c r="AL130" s="1"/>
      <c r="AM130" s="9" t="s">
        <v>619</v>
      </c>
      <c r="AN130" s="2">
        <f>+Pedidos_Pistachos[[#This Row],[CantidadPedida]]</f>
        <v>10</v>
      </c>
      <c r="AO130" s="2">
        <f>+Pedidos_Pistachos[[#This Row],[Cajas]]*2</f>
        <v>20</v>
      </c>
    </row>
    <row r="131" spans="1:41" x14ac:dyDescent="0.25">
      <c r="A131">
        <v>77768</v>
      </c>
      <c r="B131">
        <v>1</v>
      </c>
      <c r="C131" s="9" t="s">
        <v>40</v>
      </c>
      <c r="D131" s="9" t="s">
        <v>167</v>
      </c>
      <c r="E131" s="9" t="s">
        <v>44</v>
      </c>
      <c r="F131" s="9" t="s">
        <v>45</v>
      </c>
      <c r="G131" s="9" t="s">
        <v>46</v>
      </c>
      <c r="H131" s="9" t="s">
        <v>47</v>
      </c>
      <c r="I131" s="6">
        <v>350</v>
      </c>
      <c r="J131" s="8">
        <v>28.9</v>
      </c>
      <c r="K131" s="6">
        <v>350</v>
      </c>
      <c r="L131" s="6">
        <v>350</v>
      </c>
      <c r="M131" s="6">
        <v>3500</v>
      </c>
      <c r="N131" s="9" t="s">
        <v>42</v>
      </c>
      <c r="O131" s="9" t="s">
        <v>48</v>
      </c>
      <c r="P131" s="9" t="s">
        <v>41</v>
      </c>
      <c r="Q131" s="9" t="s">
        <v>542</v>
      </c>
      <c r="R131" s="9" t="s">
        <v>543</v>
      </c>
      <c r="S131" s="9" t="s">
        <v>544</v>
      </c>
      <c r="T131" s="9" t="s">
        <v>545</v>
      </c>
      <c r="U131" s="9" t="s">
        <v>39</v>
      </c>
      <c r="V131">
        <v>137574</v>
      </c>
      <c r="W131" s="1">
        <v>45902</v>
      </c>
      <c r="X131" s="9" t="s">
        <v>53</v>
      </c>
      <c r="Y131">
        <v>155024</v>
      </c>
      <c r="Z131" s="1">
        <v>45881</v>
      </c>
      <c r="AA131" s="1">
        <v>45902</v>
      </c>
      <c r="AB131" s="1">
        <v>45902</v>
      </c>
      <c r="AC131" s="1">
        <v>45902</v>
      </c>
      <c r="AD131" s="1">
        <v>45902</v>
      </c>
      <c r="AE131" s="1">
        <v>45902</v>
      </c>
      <c r="AF131" s="1">
        <v>45902</v>
      </c>
      <c r="AG131" s="1"/>
      <c r="AH131" s="1"/>
      <c r="AI131" s="1"/>
      <c r="AJ131" s="1"/>
      <c r="AK131" s="1"/>
      <c r="AL131" s="1"/>
      <c r="AM131" s="9" t="s">
        <v>619</v>
      </c>
      <c r="AN131" s="2">
        <f>+Pedidos_Pistachos[[#This Row],[CantidadPedida]]</f>
        <v>350</v>
      </c>
      <c r="AO131" s="2">
        <f>+Pedidos_Pistachos[[#This Row],[Cajas]]*2</f>
        <v>700</v>
      </c>
    </row>
    <row r="132" spans="1:41" x14ac:dyDescent="0.25">
      <c r="A132">
        <v>77767</v>
      </c>
      <c r="B132">
        <v>2</v>
      </c>
      <c r="C132" s="9" t="s">
        <v>40</v>
      </c>
      <c r="D132" s="9" t="s">
        <v>167</v>
      </c>
      <c r="E132" s="9" t="s">
        <v>44</v>
      </c>
      <c r="F132" s="9" t="s">
        <v>45</v>
      </c>
      <c r="G132" s="9" t="s">
        <v>46</v>
      </c>
      <c r="H132" s="9" t="s">
        <v>47</v>
      </c>
      <c r="I132" s="6">
        <v>350</v>
      </c>
      <c r="J132" s="8">
        <v>28</v>
      </c>
      <c r="K132" s="6">
        <v>350</v>
      </c>
      <c r="L132" s="6">
        <v>350</v>
      </c>
      <c r="M132" s="6">
        <v>3500</v>
      </c>
      <c r="N132" s="9" t="s">
        <v>42</v>
      </c>
      <c r="O132" s="9" t="s">
        <v>48</v>
      </c>
      <c r="P132" s="9" t="s">
        <v>41</v>
      </c>
      <c r="Q132" s="9" t="s">
        <v>542</v>
      </c>
      <c r="R132" s="9" t="s">
        <v>546</v>
      </c>
      <c r="S132" s="9" t="s">
        <v>547</v>
      </c>
      <c r="T132" s="9" t="s">
        <v>548</v>
      </c>
      <c r="U132" s="9" t="s">
        <v>39</v>
      </c>
      <c r="V132">
        <v>137575</v>
      </c>
      <c r="W132" s="1">
        <v>45902</v>
      </c>
      <c r="X132" s="9" t="s">
        <v>53</v>
      </c>
      <c r="Y132">
        <v>155025</v>
      </c>
      <c r="Z132" s="1">
        <v>45881</v>
      </c>
      <c r="AA132" s="1">
        <v>45881</v>
      </c>
      <c r="AB132" s="1">
        <v>45902</v>
      </c>
      <c r="AC132" s="1">
        <v>45902</v>
      </c>
      <c r="AD132" s="1">
        <v>45902</v>
      </c>
      <c r="AE132" s="1">
        <v>45902</v>
      </c>
      <c r="AF132" s="1">
        <v>45902</v>
      </c>
      <c r="AG132" s="1"/>
      <c r="AH132" s="1"/>
      <c r="AI132" s="1"/>
      <c r="AJ132" s="1"/>
      <c r="AK132" s="1"/>
      <c r="AL132" s="1"/>
      <c r="AM132" s="9" t="s">
        <v>619</v>
      </c>
      <c r="AN132" s="2">
        <f>+Pedidos_Pistachos[[#This Row],[CantidadPedida]]</f>
        <v>350</v>
      </c>
      <c r="AO132" s="2">
        <f>+Pedidos_Pistachos[[#This Row],[Cajas]]*2</f>
        <v>700</v>
      </c>
    </row>
    <row r="133" spans="1:41" x14ac:dyDescent="0.25">
      <c r="A133">
        <v>76193</v>
      </c>
      <c r="B133">
        <v>3</v>
      </c>
      <c r="C133" s="9" t="s">
        <v>40</v>
      </c>
      <c r="D133" s="9" t="s">
        <v>43</v>
      </c>
      <c r="E133" s="9" t="s">
        <v>126</v>
      </c>
      <c r="F133" s="9" t="s">
        <v>127</v>
      </c>
      <c r="G133" s="9" t="s">
        <v>46</v>
      </c>
      <c r="H133" s="9" t="s">
        <v>47</v>
      </c>
      <c r="I133" s="6">
        <v>140</v>
      </c>
      <c r="J133" s="8">
        <v>31.3</v>
      </c>
      <c r="K133" s="6">
        <v>140</v>
      </c>
      <c r="L133" s="6">
        <v>140</v>
      </c>
      <c r="M133" s="6">
        <v>1400</v>
      </c>
      <c r="N133" s="9" t="s">
        <v>42</v>
      </c>
      <c r="O133" s="9" t="s">
        <v>48</v>
      </c>
      <c r="P133" s="9" t="s">
        <v>41</v>
      </c>
      <c r="Q133" s="9" t="s">
        <v>558</v>
      </c>
      <c r="R133" s="9" t="s">
        <v>559</v>
      </c>
      <c r="S133" s="9" t="s">
        <v>560</v>
      </c>
      <c r="T133" s="9" t="s">
        <v>561</v>
      </c>
      <c r="U133" s="9" t="s">
        <v>39</v>
      </c>
      <c r="V133">
        <v>137584</v>
      </c>
      <c r="W133" s="1">
        <v>45902</v>
      </c>
      <c r="X133" s="9" t="s">
        <v>53</v>
      </c>
      <c r="Y133">
        <v>155697</v>
      </c>
      <c r="Z133" s="1">
        <v>45884</v>
      </c>
      <c r="AA133" s="1">
        <v>45902</v>
      </c>
      <c r="AB133" s="1">
        <v>45902</v>
      </c>
      <c r="AC133" s="1">
        <v>45902</v>
      </c>
      <c r="AD133" s="1">
        <v>45902</v>
      </c>
      <c r="AE133" s="1">
        <v>45902</v>
      </c>
      <c r="AF133" s="1">
        <v>45902</v>
      </c>
      <c r="AG133" s="1"/>
      <c r="AH133" s="1"/>
      <c r="AI133" s="1"/>
      <c r="AJ133" s="1"/>
      <c r="AK133" s="1"/>
      <c r="AL133" s="1"/>
      <c r="AM133" s="9" t="s">
        <v>619</v>
      </c>
      <c r="AN133" s="2">
        <f>+Pedidos_Pistachos[[#This Row],[CantidadPedida]]</f>
        <v>140</v>
      </c>
      <c r="AO133" s="2">
        <f>+Pedidos_Pistachos[[#This Row],[Cajas]]*2</f>
        <v>280</v>
      </c>
    </row>
    <row r="134" spans="1:41" x14ac:dyDescent="0.25">
      <c r="A134">
        <v>77872</v>
      </c>
      <c r="B134">
        <v>2</v>
      </c>
      <c r="C134" s="9" t="s">
        <v>40</v>
      </c>
      <c r="D134" s="9" t="s">
        <v>96</v>
      </c>
      <c r="E134" s="9" t="s">
        <v>44</v>
      </c>
      <c r="F134" s="9" t="s">
        <v>45</v>
      </c>
      <c r="G134" s="9" t="s">
        <v>46</v>
      </c>
      <c r="H134" s="9" t="s">
        <v>47</v>
      </c>
      <c r="I134" s="6">
        <v>70</v>
      </c>
      <c r="J134" s="8">
        <v>37</v>
      </c>
      <c r="K134" s="6">
        <v>70</v>
      </c>
      <c r="L134" s="6">
        <v>70</v>
      </c>
      <c r="M134" s="6">
        <v>700</v>
      </c>
      <c r="N134" s="9" t="s">
        <v>42</v>
      </c>
      <c r="O134" s="9" t="s">
        <v>48</v>
      </c>
      <c r="P134" s="9" t="s">
        <v>41</v>
      </c>
      <c r="Q134" s="9" t="s">
        <v>554</v>
      </c>
      <c r="R134" s="9" t="s">
        <v>555</v>
      </c>
      <c r="S134" s="9" t="s">
        <v>556</v>
      </c>
      <c r="T134" s="9" t="s">
        <v>557</v>
      </c>
      <c r="U134" s="9" t="s">
        <v>39</v>
      </c>
      <c r="V134">
        <v>137715</v>
      </c>
      <c r="W134" s="1">
        <v>45903</v>
      </c>
      <c r="X134" s="9" t="s">
        <v>53</v>
      </c>
      <c r="Y134">
        <v>155634</v>
      </c>
      <c r="Z134" s="1">
        <v>45884</v>
      </c>
      <c r="AA134" s="1">
        <v>45884</v>
      </c>
      <c r="AB134" s="1">
        <v>45903</v>
      </c>
      <c r="AC134" s="1">
        <v>45903</v>
      </c>
      <c r="AD134" s="1">
        <v>45903</v>
      </c>
      <c r="AE134" s="1">
        <v>45903</v>
      </c>
      <c r="AF134" s="1">
        <v>45903</v>
      </c>
      <c r="AG134" s="1"/>
      <c r="AH134" s="1"/>
      <c r="AI134" s="1"/>
      <c r="AJ134" s="1"/>
      <c r="AK134" s="1"/>
      <c r="AL134" s="1"/>
      <c r="AM134" s="9" t="s">
        <v>619</v>
      </c>
      <c r="AN134" s="2">
        <f>+Pedidos_Pistachos[[#This Row],[CantidadPedida]]</f>
        <v>70</v>
      </c>
      <c r="AO134" s="2">
        <f>+Pedidos_Pistachos[[#This Row],[Cajas]]*2</f>
        <v>140</v>
      </c>
    </row>
    <row r="135" spans="1:41" x14ac:dyDescent="0.25">
      <c r="A135">
        <v>77872</v>
      </c>
      <c r="B135">
        <v>1</v>
      </c>
      <c r="C135" s="9" t="s">
        <v>40</v>
      </c>
      <c r="D135" s="9" t="s">
        <v>96</v>
      </c>
      <c r="E135" s="9" t="s">
        <v>44</v>
      </c>
      <c r="F135" s="9" t="s">
        <v>45</v>
      </c>
      <c r="G135" s="9" t="s">
        <v>46</v>
      </c>
      <c r="H135" s="9" t="s">
        <v>47</v>
      </c>
      <c r="I135" s="6">
        <v>140</v>
      </c>
      <c r="J135" s="8">
        <v>26.3</v>
      </c>
      <c r="K135" s="6">
        <v>140</v>
      </c>
      <c r="L135" s="6">
        <v>140</v>
      </c>
      <c r="M135" s="6">
        <v>1400</v>
      </c>
      <c r="N135" s="9" t="s">
        <v>42</v>
      </c>
      <c r="O135" s="9" t="s">
        <v>48</v>
      </c>
      <c r="P135" s="9" t="s">
        <v>41</v>
      </c>
      <c r="Q135" s="9" t="s">
        <v>550</v>
      </c>
      <c r="R135" s="9" t="s">
        <v>551</v>
      </c>
      <c r="S135" s="9" t="s">
        <v>552</v>
      </c>
      <c r="T135" s="9" t="s">
        <v>553</v>
      </c>
      <c r="U135" s="9" t="s">
        <v>39</v>
      </c>
      <c r="V135">
        <v>137716</v>
      </c>
      <c r="W135" s="1">
        <v>45903</v>
      </c>
      <c r="X135" s="9" t="s">
        <v>53</v>
      </c>
      <c r="Y135">
        <v>155633</v>
      </c>
      <c r="Z135" s="1">
        <v>45884</v>
      </c>
      <c r="AA135" s="1">
        <v>45884</v>
      </c>
      <c r="AB135" s="1">
        <v>45903</v>
      </c>
      <c r="AC135" s="1">
        <v>45903</v>
      </c>
      <c r="AD135" s="1">
        <v>45903</v>
      </c>
      <c r="AE135" s="1">
        <v>45903</v>
      </c>
      <c r="AF135" s="1">
        <v>45903</v>
      </c>
      <c r="AG135" s="1"/>
      <c r="AH135" s="1"/>
      <c r="AI135" s="1"/>
      <c r="AJ135" s="1"/>
      <c r="AK135" s="1"/>
      <c r="AL135" s="1"/>
      <c r="AM135" s="9" t="s">
        <v>619</v>
      </c>
      <c r="AN135" s="2">
        <f>+Pedidos_Pistachos[[#This Row],[CantidadPedida]]</f>
        <v>140</v>
      </c>
      <c r="AO135" s="2">
        <f>+Pedidos_Pistachos[[#This Row],[Cajas]]*2</f>
        <v>280</v>
      </c>
    </row>
    <row r="136" spans="1:41" x14ac:dyDescent="0.25">
      <c r="A136">
        <v>77734</v>
      </c>
      <c r="B136">
        <v>6</v>
      </c>
      <c r="C136" s="9" t="s">
        <v>40</v>
      </c>
      <c r="D136" s="9" t="s">
        <v>407</v>
      </c>
      <c r="E136" s="9" t="s">
        <v>126</v>
      </c>
      <c r="F136" s="9" t="s">
        <v>127</v>
      </c>
      <c r="G136" s="9" t="s">
        <v>46</v>
      </c>
      <c r="H136" s="9" t="s">
        <v>47</v>
      </c>
      <c r="I136" s="6">
        <v>550</v>
      </c>
      <c r="J136" s="8">
        <v>29.9</v>
      </c>
      <c r="K136" s="6">
        <v>550</v>
      </c>
      <c r="L136" s="6">
        <v>550</v>
      </c>
      <c r="M136" s="6">
        <v>5500</v>
      </c>
      <c r="N136" s="9" t="s">
        <v>42</v>
      </c>
      <c r="O136" s="9" t="s">
        <v>48</v>
      </c>
      <c r="P136" s="9" t="s">
        <v>41</v>
      </c>
      <c r="Q136" s="9" t="s">
        <v>532</v>
      </c>
      <c r="R136" s="9" t="s">
        <v>533</v>
      </c>
      <c r="S136" s="9" t="s">
        <v>534</v>
      </c>
      <c r="T136" s="9" t="s">
        <v>535</v>
      </c>
      <c r="U136" s="9" t="s">
        <v>39</v>
      </c>
      <c r="V136">
        <v>137842</v>
      </c>
      <c r="W136" s="1">
        <v>45903</v>
      </c>
      <c r="X136" s="9" t="s">
        <v>53</v>
      </c>
      <c r="Y136">
        <v>154945</v>
      </c>
      <c r="Z136" s="1">
        <v>45881</v>
      </c>
      <c r="AA136" s="1">
        <v>45884</v>
      </c>
      <c r="AB136" s="1">
        <v>45903</v>
      </c>
      <c r="AC136" s="1">
        <v>45903</v>
      </c>
      <c r="AD136" s="1">
        <v>45903</v>
      </c>
      <c r="AE136" s="1">
        <v>45903</v>
      </c>
      <c r="AF136" s="1">
        <v>45903</v>
      </c>
      <c r="AG136" s="1"/>
      <c r="AH136" s="1"/>
      <c r="AI136" s="1"/>
      <c r="AJ136" s="1"/>
      <c r="AK136" s="1"/>
      <c r="AL136" s="1"/>
      <c r="AM136" s="9" t="s">
        <v>619</v>
      </c>
      <c r="AN136" s="2">
        <f>+Pedidos_Pistachos[[#This Row],[CantidadPedida]]</f>
        <v>550</v>
      </c>
      <c r="AO136" s="2">
        <f>+Pedidos_Pistachos[[#This Row],[Cajas]]*2</f>
        <v>1100</v>
      </c>
    </row>
    <row r="137" spans="1:41" x14ac:dyDescent="0.25">
      <c r="A137">
        <v>78574</v>
      </c>
      <c r="B137">
        <v>2</v>
      </c>
      <c r="C137" s="9" t="s">
        <v>40</v>
      </c>
      <c r="D137" s="9" t="s">
        <v>167</v>
      </c>
      <c r="E137" s="9" t="s">
        <v>605</v>
      </c>
      <c r="F137" s="9" t="s">
        <v>606</v>
      </c>
      <c r="G137" s="9" t="s">
        <v>46</v>
      </c>
      <c r="H137" s="9" t="s">
        <v>47</v>
      </c>
      <c r="I137" s="6">
        <v>257</v>
      </c>
      <c r="J137" s="8">
        <v>34.78</v>
      </c>
      <c r="K137" s="6">
        <v>257</v>
      </c>
      <c r="L137" s="6">
        <v>257</v>
      </c>
      <c r="M137" s="6">
        <v>2570</v>
      </c>
      <c r="N137" s="9" t="s">
        <v>42</v>
      </c>
      <c r="O137" s="9" t="s">
        <v>48</v>
      </c>
      <c r="P137" s="9" t="s">
        <v>41</v>
      </c>
      <c r="Q137" s="9" t="s">
        <v>609</v>
      </c>
      <c r="R137" s="9" t="s">
        <v>610</v>
      </c>
      <c r="S137" s="9" t="s">
        <v>611</v>
      </c>
      <c r="T137" s="9" t="s">
        <v>612</v>
      </c>
      <c r="U137" s="9" t="s">
        <v>39</v>
      </c>
      <c r="V137">
        <v>138259</v>
      </c>
      <c r="W137" s="1">
        <v>45905</v>
      </c>
      <c r="X137" s="9" t="s">
        <v>53</v>
      </c>
      <c r="Y137">
        <v>159465</v>
      </c>
      <c r="Z137" s="1">
        <v>45905</v>
      </c>
      <c r="AA137" s="1">
        <v>45905</v>
      </c>
      <c r="AB137" s="1">
        <v>45905</v>
      </c>
      <c r="AC137" s="1">
        <v>45905</v>
      </c>
      <c r="AD137" s="1">
        <v>45905</v>
      </c>
      <c r="AE137" s="1">
        <v>45905</v>
      </c>
      <c r="AF137" s="1">
        <v>45905</v>
      </c>
      <c r="AG137" s="1"/>
      <c r="AH137" s="1"/>
      <c r="AI137" s="1"/>
      <c r="AJ137" s="1"/>
      <c r="AK137" s="1"/>
      <c r="AL137" s="1"/>
      <c r="AM137" s="9" t="s">
        <v>619</v>
      </c>
      <c r="AN137" s="2">
        <f>+Pedidos_Pistachos[[#This Row],[CantidadPedida]]</f>
        <v>257</v>
      </c>
      <c r="AO137" s="2">
        <f>+Pedidos_Pistachos[[#This Row],[Cajas]]*2</f>
        <v>514</v>
      </c>
    </row>
    <row r="138" spans="1:41" x14ac:dyDescent="0.25">
      <c r="A138">
        <v>78574</v>
      </c>
      <c r="B138">
        <v>3</v>
      </c>
      <c r="C138" s="9" t="s">
        <v>40</v>
      </c>
      <c r="D138" s="9" t="s">
        <v>167</v>
      </c>
      <c r="E138" s="9" t="s">
        <v>605</v>
      </c>
      <c r="F138" s="9" t="s">
        <v>606</v>
      </c>
      <c r="G138" s="9" t="s">
        <v>46</v>
      </c>
      <c r="H138" s="9" t="s">
        <v>47</v>
      </c>
      <c r="I138" s="6">
        <v>63</v>
      </c>
      <c r="J138" s="8">
        <v>34.78</v>
      </c>
      <c r="K138" s="6">
        <v>63</v>
      </c>
      <c r="L138" s="6">
        <v>63</v>
      </c>
      <c r="M138" s="6">
        <v>630</v>
      </c>
      <c r="N138" s="9" t="s">
        <v>42</v>
      </c>
      <c r="O138" s="9" t="s">
        <v>48</v>
      </c>
      <c r="P138" s="9" t="s">
        <v>41</v>
      </c>
      <c r="Q138" s="9" t="s">
        <v>613</v>
      </c>
      <c r="R138" s="9" t="s">
        <v>614</v>
      </c>
      <c r="S138" s="9" t="s">
        <v>615</v>
      </c>
      <c r="T138" s="9" t="s">
        <v>616</v>
      </c>
      <c r="U138" s="9" t="s">
        <v>39</v>
      </c>
      <c r="V138">
        <v>138284</v>
      </c>
      <c r="W138" s="1">
        <v>45905</v>
      </c>
      <c r="X138" s="9" t="s">
        <v>53</v>
      </c>
      <c r="Y138">
        <v>159468</v>
      </c>
      <c r="Z138" s="1">
        <v>45905</v>
      </c>
      <c r="AA138" s="1">
        <v>45905</v>
      </c>
      <c r="AB138" s="1">
        <v>45905</v>
      </c>
      <c r="AC138" s="1">
        <v>45905</v>
      </c>
      <c r="AD138" s="1">
        <v>45905</v>
      </c>
      <c r="AE138" s="1">
        <v>45905</v>
      </c>
      <c r="AF138" s="1">
        <v>45905</v>
      </c>
      <c r="AG138" s="1"/>
      <c r="AH138" s="1"/>
      <c r="AI138" s="1"/>
      <c r="AJ138" s="1"/>
      <c r="AK138" s="1"/>
      <c r="AL138" s="1"/>
      <c r="AM138" s="9" t="s">
        <v>619</v>
      </c>
      <c r="AN138" s="2">
        <f>+Pedidos_Pistachos[[#This Row],[CantidadPedida]]</f>
        <v>63</v>
      </c>
      <c r="AO138" s="2">
        <f>+Pedidos_Pistachos[[#This Row],[Cajas]]*2</f>
        <v>126</v>
      </c>
    </row>
    <row r="139" spans="1:41" x14ac:dyDescent="0.25">
      <c r="A139">
        <v>78633</v>
      </c>
      <c r="B139">
        <v>1</v>
      </c>
      <c r="C139" s="9" t="s">
        <v>40</v>
      </c>
      <c r="D139" s="9" t="s">
        <v>634</v>
      </c>
      <c r="E139" s="9" t="s">
        <v>605</v>
      </c>
      <c r="F139" s="9" t="s">
        <v>606</v>
      </c>
      <c r="G139" s="9" t="s">
        <v>46</v>
      </c>
      <c r="H139" s="9" t="s">
        <v>47</v>
      </c>
      <c r="I139" s="6">
        <v>1</v>
      </c>
      <c r="J139" s="8">
        <v>35.15</v>
      </c>
      <c r="K139" s="6">
        <v>1</v>
      </c>
      <c r="L139" s="6">
        <v>1</v>
      </c>
      <c r="M139" s="6">
        <v>10</v>
      </c>
      <c r="N139" s="9" t="s">
        <v>42</v>
      </c>
      <c r="O139" s="9" t="s">
        <v>48</v>
      </c>
      <c r="P139" s="9" t="s">
        <v>41</v>
      </c>
      <c r="Q139" s="9" t="s">
        <v>635</v>
      </c>
      <c r="R139" s="9" t="s">
        <v>636</v>
      </c>
      <c r="S139" s="9" t="s">
        <v>637</v>
      </c>
      <c r="T139" s="9" t="s">
        <v>638</v>
      </c>
      <c r="U139" s="9" t="s">
        <v>39</v>
      </c>
      <c r="V139">
        <v>138505</v>
      </c>
      <c r="W139" s="1">
        <v>45908</v>
      </c>
      <c r="X139" s="9" t="s">
        <v>53</v>
      </c>
      <c r="Y139">
        <v>159776</v>
      </c>
      <c r="Z139" s="1">
        <v>45908</v>
      </c>
      <c r="AA139" s="1">
        <v>45908</v>
      </c>
      <c r="AB139" s="1">
        <v>45908</v>
      </c>
      <c r="AC139" s="1">
        <v>45908</v>
      </c>
      <c r="AD139" s="1">
        <v>45908</v>
      </c>
      <c r="AE139" s="1">
        <v>45908</v>
      </c>
      <c r="AF139" s="1">
        <v>45908</v>
      </c>
      <c r="AG139" s="1"/>
      <c r="AH139" s="1"/>
      <c r="AI139" s="1"/>
      <c r="AJ139" s="1"/>
      <c r="AK139" s="1"/>
      <c r="AL139" s="1"/>
      <c r="AM139" s="9" t="s">
        <v>619</v>
      </c>
      <c r="AN139" s="2">
        <f>+Pedidos_Pistachos[[#This Row],[CantidadPedida]]</f>
        <v>1</v>
      </c>
      <c r="AO139" s="2">
        <f>+Pedidos_Pistachos[[#This Row],[Cajas]]*2</f>
        <v>2</v>
      </c>
    </row>
    <row r="140" spans="1:41" x14ac:dyDescent="0.25">
      <c r="A140">
        <v>78629</v>
      </c>
      <c r="B140">
        <v>1</v>
      </c>
      <c r="C140" s="9" t="s">
        <v>40</v>
      </c>
      <c r="D140" s="9" t="s">
        <v>629</v>
      </c>
      <c r="E140" s="9" t="s">
        <v>624</v>
      </c>
      <c r="F140" s="9" t="s">
        <v>620</v>
      </c>
      <c r="G140" s="9" t="s">
        <v>46</v>
      </c>
      <c r="H140" s="9" t="s">
        <v>47</v>
      </c>
      <c r="I140" s="6">
        <v>35</v>
      </c>
      <c r="J140" s="8">
        <v>38</v>
      </c>
      <c r="K140" s="6">
        <v>35</v>
      </c>
      <c r="L140" s="6">
        <v>35</v>
      </c>
      <c r="M140" s="6">
        <v>350</v>
      </c>
      <c r="N140" s="9" t="s">
        <v>42</v>
      </c>
      <c r="O140" s="9" t="s">
        <v>48</v>
      </c>
      <c r="P140" s="9" t="s">
        <v>41</v>
      </c>
      <c r="Q140" s="9" t="s">
        <v>639</v>
      </c>
      <c r="R140" s="9" t="s">
        <v>640</v>
      </c>
      <c r="S140" s="9" t="s">
        <v>641</v>
      </c>
      <c r="T140" s="9" t="s">
        <v>642</v>
      </c>
      <c r="U140" s="9" t="s">
        <v>39</v>
      </c>
      <c r="V140">
        <v>138477</v>
      </c>
      <c r="W140" s="1">
        <v>45908</v>
      </c>
      <c r="X140" s="9" t="s">
        <v>53</v>
      </c>
      <c r="Y140">
        <v>159751</v>
      </c>
      <c r="Z140" s="1">
        <v>45908</v>
      </c>
      <c r="AA140" s="1">
        <v>45908</v>
      </c>
      <c r="AB140" s="1">
        <v>45908</v>
      </c>
      <c r="AC140" s="1">
        <v>45908</v>
      </c>
      <c r="AD140" s="1">
        <v>45908</v>
      </c>
      <c r="AE140" s="1">
        <v>45908</v>
      </c>
      <c r="AF140" s="1">
        <v>45908</v>
      </c>
      <c r="AG140" s="1"/>
      <c r="AH140" s="1"/>
      <c r="AI140" s="1"/>
      <c r="AJ140" s="1"/>
      <c r="AK140" s="1"/>
      <c r="AL140" s="1"/>
      <c r="AM140" s="9" t="s">
        <v>619</v>
      </c>
      <c r="AN140" s="2">
        <f>+Pedidos_Pistachos[[#This Row],[CantidadPedida]]</f>
        <v>35</v>
      </c>
      <c r="AO140" s="2">
        <f>+Pedidos_Pistachos[[#This Row],[Cajas]]*2</f>
        <v>70</v>
      </c>
    </row>
    <row r="141" spans="1:41" x14ac:dyDescent="0.25">
      <c r="A141">
        <v>78619</v>
      </c>
      <c r="B141">
        <v>1</v>
      </c>
      <c r="C141" s="9" t="s">
        <v>40</v>
      </c>
      <c r="D141" s="9" t="s">
        <v>622</v>
      </c>
      <c r="E141" s="9" t="s">
        <v>624</v>
      </c>
      <c r="F141" s="9" t="s">
        <v>620</v>
      </c>
      <c r="G141" s="9" t="s">
        <v>46</v>
      </c>
      <c r="H141" s="9" t="s">
        <v>47</v>
      </c>
      <c r="I141" s="6">
        <v>1</v>
      </c>
      <c r="J141" s="8">
        <v>38</v>
      </c>
      <c r="K141" s="6">
        <v>1</v>
      </c>
      <c r="L141" s="6">
        <v>1</v>
      </c>
      <c r="M141" s="6">
        <v>10</v>
      </c>
      <c r="N141" s="9" t="s">
        <v>42</v>
      </c>
      <c r="O141" s="9" t="s">
        <v>623</v>
      </c>
      <c r="P141" s="9" t="s">
        <v>41</v>
      </c>
      <c r="Q141" s="9" t="s">
        <v>625</v>
      </c>
      <c r="R141" s="9" t="s">
        <v>626</v>
      </c>
      <c r="S141" s="9" t="s">
        <v>627</v>
      </c>
      <c r="T141" s="9" t="s">
        <v>628</v>
      </c>
      <c r="U141" s="9" t="s">
        <v>39</v>
      </c>
      <c r="V141">
        <v>138433</v>
      </c>
      <c r="W141" s="1">
        <v>45908</v>
      </c>
      <c r="X141" s="9" t="s">
        <v>53</v>
      </c>
      <c r="Y141">
        <v>159708</v>
      </c>
      <c r="Z141" s="1">
        <v>45908</v>
      </c>
      <c r="AA141" s="1">
        <v>45908</v>
      </c>
      <c r="AB141" s="1">
        <v>45908</v>
      </c>
      <c r="AC141" s="1">
        <v>45908</v>
      </c>
      <c r="AD141" s="1">
        <v>45908</v>
      </c>
      <c r="AE141" s="1">
        <v>45908</v>
      </c>
      <c r="AF141" s="1">
        <v>45908</v>
      </c>
      <c r="AG141" s="1"/>
      <c r="AH141" s="1"/>
      <c r="AI141" s="1"/>
      <c r="AJ141" s="1"/>
      <c r="AK141" s="1"/>
      <c r="AL141" s="1"/>
      <c r="AM141" s="9" t="s">
        <v>619</v>
      </c>
      <c r="AN141" s="2">
        <f>+Pedidos_Pistachos[[#This Row],[CantidadPedida]]</f>
        <v>1</v>
      </c>
      <c r="AO141" s="2">
        <f>+Pedidos_Pistachos[[#This Row],[Cajas]]*2</f>
        <v>2</v>
      </c>
    </row>
    <row r="142" spans="1:41" x14ac:dyDescent="0.25">
      <c r="A142">
        <v>78193</v>
      </c>
      <c r="B142">
        <v>1</v>
      </c>
      <c r="C142" s="9" t="s">
        <v>40</v>
      </c>
      <c r="D142" s="9" t="s">
        <v>282</v>
      </c>
      <c r="E142" s="9" t="s">
        <v>594</v>
      </c>
      <c r="F142" s="9" t="s">
        <v>595</v>
      </c>
      <c r="G142" s="9" t="s">
        <v>46</v>
      </c>
      <c r="H142" s="9" t="s">
        <v>47</v>
      </c>
      <c r="I142" s="6">
        <v>30</v>
      </c>
      <c r="J142" s="8">
        <v>20.8</v>
      </c>
      <c r="K142" s="6">
        <v>30</v>
      </c>
      <c r="L142" s="6">
        <v>30</v>
      </c>
      <c r="M142" s="6">
        <v>300</v>
      </c>
      <c r="N142" s="9" t="s">
        <v>42</v>
      </c>
      <c r="O142" s="9" t="s">
        <v>48</v>
      </c>
      <c r="P142" s="9" t="s">
        <v>41</v>
      </c>
      <c r="Q142" s="9" t="s">
        <v>630</v>
      </c>
      <c r="R142" s="9" t="s">
        <v>631</v>
      </c>
      <c r="S142" s="9" t="s">
        <v>632</v>
      </c>
      <c r="T142" s="9" t="s">
        <v>633</v>
      </c>
      <c r="U142" s="9" t="s">
        <v>39</v>
      </c>
      <c r="V142">
        <v>136607</v>
      </c>
      <c r="W142" s="1">
        <v>45908</v>
      </c>
      <c r="X142" s="9" t="s">
        <v>53</v>
      </c>
      <c r="Y142">
        <v>157489</v>
      </c>
      <c r="Z142" s="1">
        <v>45894</v>
      </c>
      <c r="AA142" s="1">
        <v>45894</v>
      </c>
      <c r="AB142" s="1">
        <v>45894</v>
      </c>
      <c r="AC142" s="1">
        <v>45894</v>
      </c>
      <c r="AD142" s="1">
        <v>45894</v>
      </c>
      <c r="AE142" s="1">
        <v>45894</v>
      </c>
      <c r="AF142" s="1">
        <v>45908</v>
      </c>
      <c r="AG142" s="1"/>
      <c r="AH142" s="1"/>
      <c r="AI142" s="1"/>
      <c r="AJ142" s="1"/>
      <c r="AK142" s="1"/>
      <c r="AL142" s="1"/>
      <c r="AM142" s="9" t="s">
        <v>619</v>
      </c>
      <c r="AN142" s="2">
        <f>+Pedidos_Pistachos[[#This Row],[CantidadPedida]]</f>
        <v>30</v>
      </c>
      <c r="AO142" s="2">
        <f>+Pedidos_Pistachos[[#This Row],[Cajas]]*2</f>
        <v>60</v>
      </c>
    </row>
    <row r="143" spans="1:41" x14ac:dyDescent="0.25">
      <c r="A143">
        <v>77870</v>
      </c>
      <c r="B143">
        <v>1</v>
      </c>
      <c r="C143" s="9" t="s">
        <v>40</v>
      </c>
      <c r="D143" s="9" t="s">
        <v>132</v>
      </c>
      <c r="E143" s="9" t="s">
        <v>44</v>
      </c>
      <c r="F143" s="9" t="s">
        <v>45</v>
      </c>
      <c r="G143" s="9" t="s">
        <v>46</v>
      </c>
      <c r="H143" s="9" t="s">
        <v>47</v>
      </c>
      <c r="I143" s="6">
        <v>140</v>
      </c>
      <c r="J143" s="8">
        <v>26.3</v>
      </c>
      <c r="K143" s="6">
        <v>140</v>
      </c>
      <c r="L143" s="6">
        <v>140</v>
      </c>
      <c r="M143" s="6">
        <v>1400</v>
      </c>
      <c r="N143" s="9" t="s">
        <v>42</v>
      </c>
      <c r="O143" s="9" t="s">
        <v>48</v>
      </c>
      <c r="P143" s="9" t="s">
        <v>41</v>
      </c>
      <c r="Q143" s="9" t="s">
        <v>644</v>
      </c>
      <c r="R143" s="9" t="s">
        <v>645</v>
      </c>
      <c r="S143" s="9" t="s">
        <v>646</v>
      </c>
      <c r="T143" s="9" t="s">
        <v>647</v>
      </c>
      <c r="U143" s="9" t="s">
        <v>39</v>
      </c>
      <c r="V143">
        <v>139388</v>
      </c>
      <c r="W143" s="1">
        <v>45912</v>
      </c>
      <c r="X143" s="9" t="s">
        <v>53</v>
      </c>
      <c r="Y143">
        <v>155628</v>
      </c>
      <c r="Z143" s="1">
        <v>45884</v>
      </c>
      <c r="AA143" s="1">
        <v>45884</v>
      </c>
      <c r="AB143" s="1">
        <v>45908</v>
      </c>
      <c r="AC143" s="1">
        <v>45912</v>
      </c>
      <c r="AD143" s="1">
        <v>45912</v>
      </c>
      <c r="AE143" s="1">
        <v>45912</v>
      </c>
      <c r="AF143" s="1">
        <v>45912</v>
      </c>
      <c r="AG143" s="1"/>
      <c r="AH143" s="1"/>
      <c r="AI143" s="1"/>
      <c r="AJ143" s="1"/>
      <c r="AK143" s="1"/>
      <c r="AL143" s="1"/>
      <c r="AM143" s="9" t="s">
        <v>619</v>
      </c>
      <c r="AN143" s="2">
        <f>+Pedidos_Pistachos[[#This Row],[CantidadPedida]]</f>
        <v>140</v>
      </c>
      <c r="AO143" s="2">
        <f>+Pedidos_Pistachos[[#This Row],[Cajas]]*2</f>
        <v>280</v>
      </c>
    </row>
    <row r="144" spans="1:41" x14ac:dyDescent="0.25">
      <c r="A144">
        <v>78610</v>
      </c>
      <c r="B144">
        <v>1</v>
      </c>
      <c r="C144" s="9" t="s">
        <v>40</v>
      </c>
      <c r="D144" s="9" t="s">
        <v>617</v>
      </c>
      <c r="E144" s="9" t="s">
        <v>605</v>
      </c>
      <c r="F144" s="9" t="s">
        <v>606</v>
      </c>
      <c r="G144" s="9" t="s">
        <v>46</v>
      </c>
      <c r="H144" s="9" t="s">
        <v>47</v>
      </c>
      <c r="I144" s="6">
        <v>70</v>
      </c>
      <c r="J144" s="8">
        <v>35.15</v>
      </c>
      <c r="K144" s="6">
        <v>70</v>
      </c>
      <c r="L144" s="6">
        <v>70</v>
      </c>
      <c r="M144" s="6">
        <v>700</v>
      </c>
      <c r="N144" s="9" t="s">
        <v>42</v>
      </c>
      <c r="O144" s="9" t="s">
        <v>48</v>
      </c>
      <c r="P144" s="9" t="s">
        <v>41</v>
      </c>
      <c r="Q144" s="9" t="s">
        <v>648</v>
      </c>
      <c r="R144" s="9" t="s">
        <v>649</v>
      </c>
      <c r="S144" s="9" t="s">
        <v>650</v>
      </c>
      <c r="T144" s="9" t="s">
        <v>651</v>
      </c>
      <c r="U144" s="9" t="s">
        <v>39</v>
      </c>
      <c r="V144">
        <v>139494</v>
      </c>
      <c r="W144" s="1">
        <v>45915</v>
      </c>
      <c r="X144" s="9" t="s">
        <v>53</v>
      </c>
      <c r="Y144">
        <v>159660</v>
      </c>
      <c r="Z144" s="1">
        <v>45908</v>
      </c>
      <c r="AA144" s="1">
        <v>45908</v>
      </c>
      <c r="AB144" s="1">
        <v>45908</v>
      </c>
      <c r="AC144" s="1">
        <v>45915</v>
      </c>
      <c r="AD144" s="1">
        <v>45915</v>
      </c>
      <c r="AE144" s="1">
        <v>45915</v>
      </c>
      <c r="AF144" s="1">
        <v>45915</v>
      </c>
      <c r="AG144" s="1"/>
      <c r="AH144" s="1"/>
      <c r="AI144" s="1"/>
      <c r="AJ144" s="1"/>
      <c r="AK144" s="1"/>
      <c r="AL144" s="1"/>
      <c r="AM144" s="9" t="s">
        <v>619</v>
      </c>
      <c r="AN144" s="2">
        <f>+Pedidos_Pistachos[[#This Row],[CantidadPedida]]</f>
        <v>70</v>
      </c>
      <c r="AO144" s="2">
        <f>+Pedidos_Pistachos[[#This Row],[Cajas]]*2</f>
        <v>140</v>
      </c>
    </row>
    <row r="145" spans="1:41" x14ac:dyDescent="0.25">
      <c r="A145">
        <v>78569</v>
      </c>
      <c r="B145">
        <v>1</v>
      </c>
      <c r="C145" s="9" t="s">
        <v>40</v>
      </c>
      <c r="D145" s="9" t="s">
        <v>96</v>
      </c>
      <c r="E145" s="9" t="s">
        <v>44</v>
      </c>
      <c r="F145" s="9" t="s">
        <v>45</v>
      </c>
      <c r="G145" s="9" t="s">
        <v>46</v>
      </c>
      <c r="H145" s="9" t="s">
        <v>47</v>
      </c>
      <c r="I145" s="6">
        <v>70</v>
      </c>
      <c r="J145" s="8">
        <v>37</v>
      </c>
      <c r="K145" s="6">
        <v>70</v>
      </c>
      <c r="L145" s="6">
        <v>70</v>
      </c>
      <c r="M145" s="6">
        <v>700</v>
      </c>
      <c r="N145" s="9" t="s">
        <v>42</v>
      </c>
      <c r="O145" s="9" t="s">
        <v>48</v>
      </c>
      <c r="P145" s="9" t="s">
        <v>41</v>
      </c>
      <c r="Q145" s="9" t="s">
        <v>652</v>
      </c>
      <c r="R145" s="9" t="s">
        <v>653</v>
      </c>
      <c r="S145" s="9" t="s">
        <v>654</v>
      </c>
      <c r="T145" s="9" t="s">
        <v>655</v>
      </c>
      <c r="U145" s="9" t="s">
        <v>39</v>
      </c>
      <c r="V145">
        <v>139495</v>
      </c>
      <c r="W145" s="1">
        <v>45915</v>
      </c>
      <c r="X145" s="9" t="s">
        <v>53</v>
      </c>
      <c r="Y145">
        <v>159432</v>
      </c>
      <c r="Z145" s="1">
        <v>45905</v>
      </c>
      <c r="AA145" s="1">
        <v>45905</v>
      </c>
      <c r="AB145" s="1">
        <v>45908</v>
      </c>
      <c r="AC145" s="1">
        <v>45915</v>
      </c>
      <c r="AD145" s="1">
        <v>45915</v>
      </c>
      <c r="AE145" s="1">
        <v>45915</v>
      </c>
      <c r="AF145" s="1">
        <v>45915</v>
      </c>
      <c r="AG145" s="1"/>
      <c r="AH145" s="1"/>
      <c r="AI145" s="1"/>
      <c r="AJ145" s="1"/>
      <c r="AK145" s="1"/>
      <c r="AL145" s="1"/>
      <c r="AM145" s="9" t="s">
        <v>619</v>
      </c>
      <c r="AN145" s="2">
        <f>+Pedidos_Pistachos[[#This Row],[CantidadPedida]]</f>
        <v>70</v>
      </c>
      <c r="AO145" s="2">
        <f>+Pedidos_Pistachos[[#This Row],[Cajas]]*2</f>
        <v>140</v>
      </c>
    </row>
    <row r="146" spans="1:41" x14ac:dyDescent="0.25">
      <c r="A146">
        <v>78410</v>
      </c>
      <c r="B146">
        <v>1</v>
      </c>
      <c r="C146" s="9" t="s">
        <v>40</v>
      </c>
      <c r="D146" s="9" t="s">
        <v>607</v>
      </c>
      <c r="E146" s="9" t="s">
        <v>44</v>
      </c>
      <c r="F146" s="9" t="s">
        <v>45</v>
      </c>
      <c r="G146" s="9" t="s">
        <v>46</v>
      </c>
      <c r="H146" s="9" t="s">
        <v>47</v>
      </c>
      <c r="I146" s="6">
        <v>70</v>
      </c>
      <c r="J146" s="8">
        <v>37</v>
      </c>
      <c r="K146" s="6">
        <v>70</v>
      </c>
      <c r="L146" s="6">
        <v>70</v>
      </c>
      <c r="M146" s="6">
        <v>700</v>
      </c>
      <c r="N146" s="9" t="s">
        <v>42</v>
      </c>
      <c r="O146" s="9" t="s">
        <v>48</v>
      </c>
      <c r="P146" s="9" t="s">
        <v>41</v>
      </c>
      <c r="Q146" s="9" t="s">
        <v>656</v>
      </c>
      <c r="R146" s="9" t="s">
        <v>657</v>
      </c>
      <c r="S146" s="9" t="s">
        <v>658</v>
      </c>
      <c r="T146" s="9" t="s">
        <v>659</v>
      </c>
      <c r="U146" s="9" t="s">
        <v>39</v>
      </c>
      <c r="V146">
        <v>139493</v>
      </c>
      <c r="W146" s="1">
        <v>45915</v>
      </c>
      <c r="X146" s="9" t="s">
        <v>53</v>
      </c>
      <c r="Y146">
        <v>158496</v>
      </c>
      <c r="Z146" s="1">
        <v>45901</v>
      </c>
      <c r="AA146" s="1">
        <v>45901</v>
      </c>
      <c r="AB146" s="1">
        <v>45908</v>
      </c>
      <c r="AC146" s="1">
        <v>45915</v>
      </c>
      <c r="AD146" s="1">
        <v>45915</v>
      </c>
      <c r="AE146" s="1">
        <v>45915</v>
      </c>
      <c r="AF146" s="1">
        <v>45915</v>
      </c>
      <c r="AG146" s="1"/>
      <c r="AH146" s="1"/>
      <c r="AI146" s="1"/>
      <c r="AJ146" s="1"/>
      <c r="AK146" s="1"/>
      <c r="AL146" s="1"/>
      <c r="AM146" s="9" t="s">
        <v>619</v>
      </c>
      <c r="AN146" s="2">
        <f>+Pedidos_Pistachos[[#This Row],[CantidadPedida]]</f>
        <v>70</v>
      </c>
      <c r="AO146" s="2">
        <f>+Pedidos_Pistachos[[#This Row],[Cajas]]*2</f>
        <v>140</v>
      </c>
    </row>
    <row r="147" spans="1:41" x14ac:dyDescent="0.25">
      <c r="A147">
        <v>78359</v>
      </c>
      <c r="B147">
        <v>1</v>
      </c>
      <c r="C147" s="9" t="s">
        <v>40</v>
      </c>
      <c r="D147" s="9" t="s">
        <v>604</v>
      </c>
      <c r="E147" s="9" t="s">
        <v>605</v>
      </c>
      <c r="F147" s="9" t="s">
        <v>606</v>
      </c>
      <c r="G147" s="9" t="s">
        <v>46</v>
      </c>
      <c r="H147" s="9" t="s">
        <v>47</v>
      </c>
      <c r="I147" s="6">
        <v>70</v>
      </c>
      <c r="J147" s="8">
        <v>35.15</v>
      </c>
      <c r="K147" s="6">
        <v>70</v>
      </c>
      <c r="L147" s="6">
        <v>70</v>
      </c>
      <c r="M147" s="6">
        <v>700</v>
      </c>
      <c r="N147" s="9" t="s">
        <v>42</v>
      </c>
      <c r="O147" s="9" t="s">
        <v>48</v>
      </c>
      <c r="P147" s="9" t="s">
        <v>41</v>
      </c>
      <c r="Q147" s="9" t="s">
        <v>660</v>
      </c>
      <c r="R147" s="9" t="s">
        <v>661</v>
      </c>
      <c r="S147" s="9" t="s">
        <v>662</v>
      </c>
      <c r="T147" s="9" t="s">
        <v>663</v>
      </c>
      <c r="U147" s="9" t="s">
        <v>39</v>
      </c>
      <c r="V147">
        <v>139496</v>
      </c>
      <c r="W147" s="1">
        <v>45915</v>
      </c>
      <c r="X147" s="9" t="s">
        <v>53</v>
      </c>
      <c r="Y147">
        <v>158252</v>
      </c>
      <c r="Z147" s="1">
        <v>45898</v>
      </c>
      <c r="AA147" s="1">
        <v>45898</v>
      </c>
      <c r="AB147" s="1">
        <v>45908</v>
      </c>
      <c r="AC147" s="1">
        <v>45915</v>
      </c>
      <c r="AD147" s="1">
        <v>45915</v>
      </c>
      <c r="AE147" s="1">
        <v>45915</v>
      </c>
      <c r="AF147" s="1">
        <v>45915</v>
      </c>
      <c r="AG147" s="1"/>
      <c r="AH147" s="1"/>
      <c r="AI147" s="1"/>
      <c r="AJ147" s="1"/>
      <c r="AK147" s="1"/>
      <c r="AL147" s="1"/>
      <c r="AM147" s="9" t="s">
        <v>619</v>
      </c>
      <c r="AN147" s="2">
        <f>+Pedidos_Pistachos[[#This Row],[CantidadPedida]]</f>
        <v>70</v>
      </c>
      <c r="AO147" s="2">
        <f>+Pedidos_Pistachos[[#This Row],[Cajas]]*2</f>
        <v>140</v>
      </c>
    </row>
    <row r="148" spans="1:41" x14ac:dyDescent="0.25">
      <c r="A148">
        <v>78946</v>
      </c>
      <c r="B148">
        <v>1</v>
      </c>
      <c r="C148" s="9" t="s">
        <v>40</v>
      </c>
      <c r="D148" s="9" t="s">
        <v>247</v>
      </c>
      <c r="E148" s="9" t="s">
        <v>44</v>
      </c>
      <c r="F148" s="9" t="s">
        <v>45</v>
      </c>
      <c r="G148" s="9" t="s">
        <v>46</v>
      </c>
      <c r="H148" s="9" t="s">
        <v>47</v>
      </c>
      <c r="I148" s="6">
        <v>70</v>
      </c>
      <c r="J148" s="8">
        <v>37</v>
      </c>
      <c r="K148" s="6">
        <v>70</v>
      </c>
      <c r="L148" s="6">
        <v>70</v>
      </c>
      <c r="M148" s="6">
        <v>700</v>
      </c>
      <c r="N148" s="9" t="s">
        <v>42</v>
      </c>
      <c r="O148" s="9" t="s">
        <v>48</v>
      </c>
      <c r="P148" s="9" t="s">
        <v>41</v>
      </c>
      <c r="Q148" s="9" t="s">
        <v>664</v>
      </c>
      <c r="R148" s="9" t="s">
        <v>665</v>
      </c>
      <c r="S148" s="9" t="s">
        <v>666</v>
      </c>
      <c r="T148" s="9" t="s">
        <v>667</v>
      </c>
      <c r="U148" s="9" t="s">
        <v>39</v>
      </c>
      <c r="V148">
        <v>139866</v>
      </c>
      <c r="W148" s="1">
        <v>45916</v>
      </c>
      <c r="X148" s="9" t="s">
        <v>53</v>
      </c>
      <c r="Y148">
        <v>161399</v>
      </c>
      <c r="Z148" s="1">
        <v>45916</v>
      </c>
      <c r="AA148" s="1">
        <v>45916</v>
      </c>
      <c r="AB148" s="1">
        <v>45916</v>
      </c>
      <c r="AC148" s="1">
        <v>45916</v>
      </c>
      <c r="AD148" s="1">
        <v>45916</v>
      </c>
      <c r="AE148" s="1">
        <v>45916</v>
      </c>
      <c r="AF148" s="1">
        <v>45916</v>
      </c>
      <c r="AG148" s="1"/>
      <c r="AH148" s="1"/>
      <c r="AI148" s="1"/>
      <c r="AJ148" s="1"/>
      <c r="AK148" s="1"/>
      <c r="AL148" s="1"/>
      <c r="AM148" s="9" t="s">
        <v>619</v>
      </c>
      <c r="AN148" s="2">
        <f>+Pedidos_Pistachos[[#This Row],[CantidadPedida]]</f>
        <v>70</v>
      </c>
      <c r="AO148" s="2">
        <f>+Pedidos_Pistachos[[#This Row],[Cajas]]*2</f>
        <v>140</v>
      </c>
    </row>
    <row r="149" spans="1:41" x14ac:dyDescent="0.25">
      <c r="A149">
        <v>78203</v>
      </c>
      <c r="B149">
        <v>1</v>
      </c>
      <c r="C149" s="9" t="s">
        <v>40</v>
      </c>
      <c r="D149" s="9" t="s">
        <v>252</v>
      </c>
      <c r="E149" s="9" t="s">
        <v>44</v>
      </c>
      <c r="F149" s="9" t="s">
        <v>45</v>
      </c>
      <c r="G149" s="9" t="s">
        <v>46</v>
      </c>
      <c r="H149" s="9" t="s">
        <v>47</v>
      </c>
      <c r="I149" s="6">
        <v>70</v>
      </c>
      <c r="J149" s="8">
        <v>37</v>
      </c>
      <c r="K149" s="6">
        <v>70</v>
      </c>
      <c r="L149" s="6">
        <v>70</v>
      </c>
      <c r="M149" s="6">
        <v>700</v>
      </c>
      <c r="N149" s="9" t="s">
        <v>42</v>
      </c>
      <c r="O149" s="9" t="s">
        <v>48</v>
      </c>
      <c r="P149" s="9" t="s">
        <v>41</v>
      </c>
      <c r="Q149" s="9" t="s">
        <v>672</v>
      </c>
      <c r="R149" s="9" t="s">
        <v>673</v>
      </c>
      <c r="S149" s="9" t="s">
        <v>674</v>
      </c>
      <c r="T149" s="9" t="s">
        <v>675</v>
      </c>
      <c r="U149" s="9" t="s">
        <v>39</v>
      </c>
      <c r="V149">
        <v>139650</v>
      </c>
      <c r="W149" s="1">
        <v>45916</v>
      </c>
      <c r="X149" s="9" t="s">
        <v>53</v>
      </c>
      <c r="Y149">
        <v>157529</v>
      </c>
      <c r="Z149" s="1">
        <v>45895</v>
      </c>
      <c r="AA149" s="1">
        <v>45895</v>
      </c>
      <c r="AB149" s="1">
        <v>45908</v>
      </c>
      <c r="AC149" s="1">
        <v>45916</v>
      </c>
      <c r="AD149" s="1">
        <v>45916</v>
      </c>
      <c r="AE149" s="1">
        <v>45916</v>
      </c>
      <c r="AF149" s="1">
        <v>45916</v>
      </c>
      <c r="AG149" s="1"/>
      <c r="AH149" s="1"/>
      <c r="AI149" s="1"/>
      <c r="AJ149" s="1"/>
      <c r="AK149" s="1"/>
      <c r="AL149" s="1"/>
      <c r="AM149" s="9" t="s">
        <v>619</v>
      </c>
      <c r="AN149" s="2">
        <f>+Pedidos_Pistachos[[#This Row],[CantidadPedida]]</f>
        <v>70</v>
      </c>
      <c r="AO149" s="2">
        <f>+Pedidos_Pistachos[[#This Row],[Cajas]]*2</f>
        <v>140</v>
      </c>
    </row>
    <row r="150" spans="1:41" x14ac:dyDescent="0.25">
      <c r="A150">
        <v>78910</v>
      </c>
      <c r="B150">
        <v>1</v>
      </c>
      <c r="C150" s="9" t="s">
        <v>40</v>
      </c>
      <c r="D150" s="9" t="s">
        <v>238</v>
      </c>
      <c r="E150" s="9" t="s">
        <v>605</v>
      </c>
      <c r="F150" s="9" t="s">
        <v>606</v>
      </c>
      <c r="G150" s="9" t="s">
        <v>46</v>
      </c>
      <c r="H150" s="9" t="s">
        <v>47</v>
      </c>
      <c r="I150" s="6">
        <v>210</v>
      </c>
      <c r="J150" s="8">
        <v>35.15</v>
      </c>
      <c r="K150" s="6">
        <v>210</v>
      </c>
      <c r="L150" s="6">
        <v>210</v>
      </c>
      <c r="M150" s="6">
        <v>2100</v>
      </c>
      <c r="N150" s="9" t="s">
        <v>42</v>
      </c>
      <c r="O150" s="9" t="s">
        <v>48</v>
      </c>
      <c r="P150" s="9" t="s">
        <v>41</v>
      </c>
      <c r="Q150" s="9" t="s">
        <v>668</v>
      </c>
      <c r="R150" s="9" t="s">
        <v>669</v>
      </c>
      <c r="S150" s="9" t="s">
        <v>670</v>
      </c>
      <c r="T150" s="9" t="s">
        <v>671</v>
      </c>
      <c r="U150" s="9" t="s">
        <v>39</v>
      </c>
      <c r="V150">
        <v>139911</v>
      </c>
      <c r="W150" s="1">
        <v>45917</v>
      </c>
      <c r="X150" s="9" t="s">
        <v>53</v>
      </c>
      <c r="Y150">
        <v>161245</v>
      </c>
      <c r="Z150" s="1">
        <v>45916</v>
      </c>
      <c r="AA150" s="1">
        <v>45916</v>
      </c>
      <c r="AB150" s="1">
        <v>45917</v>
      </c>
      <c r="AC150" s="1">
        <v>45917</v>
      </c>
      <c r="AD150" s="1">
        <v>45917</v>
      </c>
      <c r="AE150" s="1">
        <v>45917</v>
      </c>
      <c r="AF150" s="1">
        <v>45917</v>
      </c>
      <c r="AG150" s="1"/>
      <c r="AH150" s="1"/>
      <c r="AI150" s="1"/>
      <c r="AJ150" s="1"/>
      <c r="AK150" s="1"/>
      <c r="AL150" s="1"/>
      <c r="AM150" s="9" t="s">
        <v>619</v>
      </c>
      <c r="AN150" s="2">
        <f>+Pedidos_Pistachos[[#This Row],[CantidadPedida]]</f>
        <v>210</v>
      </c>
      <c r="AO150" s="2">
        <f>+Pedidos_Pistachos[[#This Row],[Cajas]]*2</f>
        <v>420</v>
      </c>
    </row>
    <row r="151" spans="1:41" x14ac:dyDescent="0.25">
      <c r="A151">
        <v>77768</v>
      </c>
      <c r="B151">
        <v>3</v>
      </c>
      <c r="C151" s="9" t="s">
        <v>40</v>
      </c>
      <c r="D151" s="9" t="s">
        <v>167</v>
      </c>
      <c r="E151" s="9" t="s">
        <v>44</v>
      </c>
      <c r="F151" s="9" t="s">
        <v>45</v>
      </c>
      <c r="G151" s="9" t="s">
        <v>46</v>
      </c>
      <c r="H151" s="9" t="s">
        <v>47</v>
      </c>
      <c r="I151" s="6">
        <v>350</v>
      </c>
      <c r="J151" s="8">
        <v>28.9</v>
      </c>
      <c r="K151" s="6">
        <v>350</v>
      </c>
      <c r="L151" s="6">
        <v>350</v>
      </c>
      <c r="M151" s="6">
        <v>3500</v>
      </c>
      <c r="N151" s="9" t="s">
        <v>42</v>
      </c>
      <c r="O151" s="9" t="s">
        <v>48</v>
      </c>
      <c r="P151" s="9" t="s">
        <v>41</v>
      </c>
      <c r="Q151" s="9" t="s">
        <v>676</v>
      </c>
      <c r="R151" s="9" t="s">
        <v>677</v>
      </c>
      <c r="S151" s="9" t="s">
        <v>678</v>
      </c>
      <c r="T151" s="9" t="s">
        <v>679</v>
      </c>
      <c r="U151" s="9" t="s">
        <v>39</v>
      </c>
      <c r="V151">
        <v>140008</v>
      </c>
      <c r="W151" s="1">
        <v>45917</v>
      </c>
      <c r="X151" s="9" t="s">
        <v>53</v>
      </c>
      <c r="Y151">
        <v>158637</v>
      </c>
      <c r="Z151" s="1">
        <v>45902</v>
      </c>
      <c r="AA151" s="1">
        <v>45902</v>
      </c>
      <c r="AB151" s="1">
        <v>45908</v>
      </c>
      <c r="AC151" s="1">
        <v>45917</v>
      </c>
      <c r="AD151" s="1">
        <v>45917</v>
      </c>
      <c r="AE151" s="1">
        <v>45917</v>
      </c>
      <c r="AF151" s="1">
        <v>45917</v>
      </c>
      <c r="AG151" s="1"/>
      <c r="AH151" s="1"/>
      <c r="AI151" s="1"/>
      <c r="AJ151" s="1"/>
      <c r="AK151" s="1"/>
      <c r="AL151" s="1"/>
      <c r="AM151" s="9" t="s">
        <v>619</v>
      </c>
      <c r="AN151" s="2">
        <f>+Pedidos_Pistachos[[#This Row],[CantidadPedida]]</f>
        <v>350</v>
      </c>
      <c r="AO151" s="2">
        <f>+Pedidos_Pistachos[[#This Row],[Cajas]]*2</f>
        <v>700</v>
      </c>
    </row>
    <row r="152" spans="1:41" x14ac:dyDescent="0.25">
      <c r="A152">
        <v>77768</v>
      </c>
      <c r="B152">
        <v>2</v>
      </c>
      <c r="C152" s="9" t="s">
        <v>40</v>
      </c>
      <c r="D152" s="9" t="s">
        <v>167</v>
      </c>
      <c r="E152" s="9" t="s">
        <v>44</v>
      </c>
      <c r="F152" s="9" t="s">
        <v>45</v>
      </c>
      <c r="G152" s="9" t="s">
        <v>46</v>
      </c>
      <c r="H152" s="9" t="s">
        <v>47</v>
      </c>
      <c r="I152" s="6">
        <v>70</v>
      </c>
      <c r="J152" s="8">
        <v>28.9</v>
      </c>
      <c r="K152" s="6">
        <v>70</v>
      </c>
      <c r="L152" s="6">
        <v>70</v>
      </c>
      <c r="M152" s="6">
        <v>700</v>
      </c>
      <c r="N152" s="9" t="s">
        <v>42</v>
      </c>
      <c r="O152" s="9" t="s">
        <v>48</v>
      </c>
      <c r="P152" s="9" t="s">
        <v>41</v>
      </c>
      <c r="Q152" s="9" t="s">
        <v>676</v>
      </c>
      <c r="R152" s="9" t="s">
        <v>680</v>
      </c>
      <c r="S152" s="9" t="s">
        <v>678</v>
      </c>
      <c r="T152" s="9" t="s">
        <v>679</v>
      </c>
      <c r="U152" s="9" t="s">
        <v>39</v>
      </c>
      <c r="V152">
        <v>140010</v>
      </c>
      <c r="W152" s="1">
        <v>45917</v>
      </c>
      <c r="X152" s="9" t="s">
        <v>53</v>
      </c>
      <c r="Y152">
        <v>158545</v>
      </c>
      <c r="Z152" s="1">
        <v>45901</v>
      </c>
      <c r="AA152" s="1">
        <v>45902</v>
      </c>
      <c r="AB152" s="1">
        <v>45902</v>
      </c>
      <c r="AC152" s="1">
        <v>45917</v>
      </c>
      <c r="AD152" s="1">
        <v>45917</v>
      </c>
      <c r="AE152" s="1">
        <v>45917</v>
      </c>
      <c r="AF152" s="1">
        <v>45917</v>
      </c>
      <c r="AG152" s="1"/>
      <c r="AH152" s="1"/>
      <c r="AI152" s="1"/>
      <c r="AJ152" s="1"/>
      <c r="AK152" s="1"/>
      <c r="AL152" s="1"/>
      <c r="AM152" s="9" t="s">
        <v>619</v>
      </c>
      <c r="AN152" s="2">
        <f>+Pedidos_Pistachos[[#This Row],[CantidadPedida]]</f>
        <v>70</v>
      </c>
      <c r="AO152" s="2">
        <f>+Pedidos_Pistachos[[#This Row],[Cajas]]*2</f>
        <v>140</v>
      </c>
    </row>
    <row r="153" spans="1:41" x14ac:dyDescent="0.25">
      <c r="A153">
        <v>79044</v>
      </c>
      <c r="B153">
        <v>1</v>
      </c>
      <c r="C153" s="9" t="s">
        <v>40</v>
      </c>
      <c r="D153" s="9" t="s">
        <v>252</v>
      </c>
      <c r="E153" s="9" t="s">
        <v>44</v>
      </c>
      <c r="F153" s="9" t="s">
        <v>45</v>
      </c>
      <c r="G153" s="9" t="s">
        <v>46</v>
      </c>
      <c r="H153" s="9" t="s">
        <v>47</v>
      </c>
      <c r="I153" s="6">
        <v>140</v>
      </c>
      <c r="J153" s="8">
        <v>37</v>
      </c>
      <c r="K153" s="6">
        <v>140</v>
      </c>
      <c r="L153" s="6">
        <v>140</v>
      </c>
      <c r="M153" s="6">
        <v>1400</v>
      </c>
      <c r="N153" s="9" t="s">
        <v>42</v>
      </c>
      <c r="O153" s="9" t="s">
        <v>48</v>
      </c>
      <c r="P153" s="9" t="s">
        <v>41</v>
      </c>
      <c r="Q153" s="9" t="s">
        <v>686</v>
      </c>
      <c r="R153" s="9" t="s">
        <v>687</v>
      </c>
      <c r="S153" s="9" t="s">
        <v>688</v>
      </c>
      <c r="T153" s="9" t="s">
        <v>689</v>
      </c>
      <c r="U153" s="9" t="s">
        <v>39</v>
      </c>
      <c r="V153">
        <v>140248</v>
      </c>
      <c r="W153" s="1">
        <v>45919</v>
      </c>
      <c r="X153" s="9" t="s">
        <v>53</v>
      </c>
      <c r="Y153">
        <v>161920</v>
      </c>
      <c r="Z153" s="1">
        <v>45919</v>
      </c>
      <c r="AA153" s="1">
        <v>45919</v>
      </c>
      <c r="AB153" s="1">
        <v>45919</v>
      </c>
      <c r="AC153" s="1">
        <v>45919</v>
      </c>
      <c r="AD153" s="1">
        <v>45919</v>
      </c>
      <c r="AE153" s="1">
        <v>45919</v>
      </c>
      <c r="AF153" s="1">
        <v>45919</v>
      </c>
      <c r="AG153" s="1"/>
      <c r="AH153" s="1"/>
      <c r="AI153" s="1"/>
      <c r="AJ153" s="1"/>
      <c r="AK153" s="1"/>
      <c r="AL153" s="1"/>
      <c r="AM153" s="9" t="s">
        <v>619</v>
      </c>
      <c r="AN153" s="2">
        <f>+Pedidos_Pistachos[[#This Row],[CantidadPedida]]</f>
        <v>140</v>
      </c>
      <c r="AO153" s="2">
        <f>+Pedidos_Pistachos[[#This Row],[Cajas]]*2</f>
        <v>280</v>
      </c>
    </row>
    <row r="154" spans="1:41" x14ac:dyDescent="0.25">
      <c r="A154">
        <v>79124</v>
      </c>
      <c r="B154">
        <v>1</v>
      </c>
      <c r="C154" s="9" t="s">
        <v>38</v>
      </c>
      <c r="D154" s="9" t="s">
        <v>330</v>
      </c>
      <c r="E154" s="9" t="s">
        <v>594</v>
      </c>
      <c r="F154" s="9" t="s">
        <v>595</v>
      </c>
      <c r="G154" s="9" t="s">
        <v>46</v>
      </c>
      <c r="H154" s="9" t="s">
        <v>47</v>
      </c>
      <c r="I154" s="6">
        <v>140</v>
      </c>
      <c r="J154" s="8">
        <v>17.57</v>
      </c>
      <c r="K154" s="6">
        <v>140</v>
      </c>
      <c r="L154" s="6">
        <v>140</v>
      </c>
      <c r="M154" s="6">
        <v>1400</v>
      </c>
      <c r="N154" s="9" t="s">
        <v>42</v>
      </c>
      <c r="O154" s="9" t="s">
        <v>48</v>
      </c>
      <c r="P154" s="9" t="s">
        <v>41</v>
      </c>
      <c r="Q154" s="9" t="s">
        <v>694</v>
      </c>
      <c r="R154" s="9" t="s">
        <v>695</v>
      </c>
      <c r="S154" s="9" t="s">
        <v>696</v>
      </c>
      <c r="T154" s="9" t="s">
        <v>697</v>
      </c>
      <c r="U154" s="9" t="s">
        <v>39</v>
      </c>
      <c r="V154">
        <v>140766</v>
      </c>
      <c r="W154" s="1">
        <v>45922</v>
      </c>
      <c r="X154" s="9" t="s">
        <v>53</v>
      </c>
      <c r="Y154">
        <v>162508</v>
      </c>
      <c r="Z154" s="1">
        <v>45922</v>
      </c>
      <c r="AA154" s="1">
        <v>45922</v>
      </c>
      <c r="AB154" s="1">
        <v>45922</v>
      </c>
      <c r="AC154" s="1">
        <v>45922</v>
      </c>
      <c r="AD154" s="1">
        <v>45922</v>
      </c>
      <c r="AE154" s="1">
        <v>45922</v>
      </c>
      <c r="AF154" s="1">
        <v>45922</v>
      </c>
      <c r="AG154" s="1"/>
      <c r="AH154" s="1"/>
      <c r="AI154" s="1"/>
      <c r="AJ154" s="1"/>
      <c r="AK154" s="1"/>
      <c r="AL154" s="1"/>
      <c r="AM154" s="9" t="s">
        <v>619</v>
      </c>
      <c r="AN154" s="2">
        <f>+Pedidos_Pistachos[[#This Row],[CantidadPedida]]</f>
        <v>140</v>
      </c>
      <c r="AO154" s="2">
        <f>+Pedidos_Pistachos[[#This Row],[Cajas]]*2</f>
        <v>280</v>
      </c>
    </row>
    <row r="155" spans="1:41" x14ac:dyDescent="0.25">
      <c r="A155">
        <v>79197</v>
      </c>
      <c r="B155">
        <v>1</v>
      </c>
      <c r="C155" s="9" t="s">
        <v>40</v>
      </c>
      <c r="D155" s="9" t="s">
        <v>247</v>
      </c>
      <c r="E155" s="9" t="s">
        <v>594</v>
      </c>
      <c r="F155" s="9" t="s">
        <v>595</v>
      </c>
      <c r="G155" s="9" t="s">
        <v>46</v>
      </c>
      <c r="H155" s="9" t="s">
        <v>47</v>
      </c>
      <c r="I155" s="6">
        <v>70</v>
      </c>
      <c r="J155" s="8">
        <v>20.8</v>
      </c>
      <c r="K155" s="6">
        <v>70</v>
      </c>
      <c r="L155" s="6">
        <v>70</v>
      </c>
      <c r="M155" s="6">
        <v>700</v>
      </c>
      <c r="N155" s="9" t="s">
        <v>42</v>
      </c>
      <c r="O155" s="9" t="s">
        <v>48</v>
      </c>
      <c r="P155" s="9" t="s">
        <v>41</v>
      </c>
      <c r="Q155" s="9" t="s">
        <v>690</v>
      </c>
      <c r="R155" s="9" t="s">
        <v>691</v>
      </c>
      <c r="S155" s="9" t="s">
        <v>692</v>
      </c>
      <c r="T155" s="9" t="s">
        <v>693</v>
      </c>
      <c r="U155" s="9" t="s">
        <v>39</v>
      </c>
      <c r="V155">
        <v>140894</v>
      </c>
      <c r="W155" s="1">
        <v>45925</v>
      </c>
      <c r="X155" s="9" t="s">
        <v>53</v>
      </c>
      <c r="Y155">
        <v>163012</v>
      </c>
      <c r="Z155" s="1">
        <v>45925</v>
      </c>
      <c r="AA155" s="1">
        <v>45925</v>
      </c>
      <c r="AB155" s="1">
        <v>45925</v>
      </c>
      <c r="AC155" s="1">
        <v>45925</v>
      </c>
      <c r="AD155" s="1">
        <v>45925</v>
      </c>
      <c r="AE155" s="1">
        <v>45925</v>
      </c>
      <c r="AF155" s="1">
        <v>45925</v>
      </c>
      <c r="AG155" s="1"/>
      <c r="AH155" s="1"/>
      <c r="AI155" s="1"/>
      <c r="AJ155" s="1"/>
      <c r="AK155" s="1"/>
      <c r="AL155" s="1"/>
      <c r="AM155" s="9" t="s">
        <v>619</v>
      </c>
      <c r="AN155" s="2">
        <f>+Pedidos_Pistachos[[#This Row],[CantidadPedida]]</f>
        <v>70</v>
      </c>
      <c r="AO155" s="2">
        <f>+Pedidos_Pistachos[[#This Row],[Cajas]]*2</f>
        <v>140</v>
      </c>
    </row>
    <row r="156" spans="1:41" x14ac:dyDescent="0.25">
      <c r="A156">
        <v>79291</v>
      </c>
      <c r="B156">
        <v>1</v>
      </c>
      <c r="C156" s="9" t="s">
        <v>38</v>
      </c>
      <c r="D156" s="9" t="s">
        <v>272</v>
      </c>
      <c r="E156" s="9" t="s">
        <v>594</v>
      </c>
      <c r="F156" s="9" t="s">
        <v>595</v>
      </c>
      <c r="G156" s="9" t="s">
        <v>46</v>
      </c>
      <c r="H156" s="9" t="s">
        <v>47</v>
      </c>
      <c r="I156" s="6">
        <v>70</v>
      </c>
      <c r="J156" s="8">
        <v>19.25</v>
      </c>
      <c r="K156" s="6">
        <v>70</v>
      </c>
      <c r="L156" s="6">
        <v>70</v>
      </c>
      <c r="M156" s="6">
        <v>700</v>
      </c>
      <c r="N156" s="9" t="s">
        <v>42</v>
      </c>
      <c r="O156" s="9" t="s">
        <v>48</v>
      </c>
      <c r="P156" s="9" t="s">
        <v>41</v>
      </c>
      <c r="Q156" s="9" t="s">
        <v>698</v>
      </c>
      <c r="R156" s="9" t="s">
        <v>699</v>
      </c>
      <c r="S156" s="9" t="s">
        <v>700</v>
      </c>
      <c r="T156" s="9" t="s">
        <v>701</v>
      </c>
      <c r="U156" s="9" t="s">
        <v>39</v>
      </c>
      <c r="V156">
        <v>141561</v>
      </c>
      <c r="W156" s="1">
        <v>45929</v>
      </c>
      <c r="X156" s="9" t="s">
        <v>53</v>
      </c>
      <c r="Y156">
        <v>163494</v>
      </c>
      <c r="Z156" s="1">
        <v>45929</v>
      </c>
      <c r="AA156" s="1">
        <v>45929</v>
      </c>
      <c r="AB156" s="1">
        <v>45929</v>
      </c>
      <c r="AC156" s="1">
        <v>45929</v>
      </c>
      <c r="AD156" s="1">
        <v>45929</v>
      </c>
      <c r="AE156" s="1">
        <v>45929</v>
      </c>
      <c r="AF156" s="1">
        <v>45929</v>
      </c>
      <c r="AG156" s="1"/>
      <c r="AH156" s="1"/>
      <c r="AI156" s="1"/>
      <c r="AJ156" s="1"/>
      <c r="AK156" s="1"/>
      <c r="AL156" s="1"/>
      <c r="AM156" s="9" t="s">
        <v>619</v>
      </c>
      <c r="AN156" s="2">
        <f>+Pedidos_Pistachos[[#This Row],[CantidadPedida]]</f>
        <v>70</v>
      </c>
      <c r="AO156" s="2">
        <f>+Pedidos_Pistachos[[#This Row],[Cajas]]*2</f>
        <v>140</v>
      </c>
    </row>
    <row r="157" spans="1:41" x14ac:dyDescent="0.25">
      <c r="A157">
        <v>78049</v>
      </c>
      <c r="B157">
        <v>1</v>
      </c>
      <c r="C157" s="9" t="s">
        <v>40</v>
      </c>
      <c r="D157" s="9" t="s">
        <v>407</v>
      </c>
      <c r="E157" s="9" t="s">
        <v>602</v>
      </c>
      <c r="F157" s="9" t="s">
        <v>603</v>
      </c>
      <c r="G157" s="9" t="s">
        <v>46</v>
      </c>
      <c r="H157" s="9" t="s">
        <v>47</v>
      </c>
      <c r="I157" s="6">
        <v>980</v>
      </c>
      <c r="J157" s="8">
        <v>33</v>
      </c>
      <c r="K157" s="6">
        <v>980</v>
      </c>
      <c r="L157" s="6">
        <v>980</v>
      </c>
      <c r="M157" s="6">
        <v>9800</v>
      </c>
      <c r="N157" s="9" t="s">
        <v>42</v>
      </c>
      <c r="O157" s="9" t="s">
        <v>48</v>
      </c>
      <c r="P157" s="9" t="s">
        <v>41</v>
      </c>
      <c r="Q157" s="9" t="s">
        <v>702</v>
      </c>
      <c r="R157" s="9" t="s">
        <v>703</v>
      </c>
      <c r="S157" s="9" t="s">
        <v>704</v>
      </c>
      <c r="T157" s="9" t="s">
        <v>705</v>
      </c>
      <c r="U157" s="9" t="s">
        <v>39</v>
      </c>
      <c r="V157">
        <v>141494</v>
      </c>
      <c r="W157" s="1">
        <v>45929</v>
      </c>
      <c r="X157" s="9" t="s">
        <v>53</v>
      </c>
      <c r="Y157">
        <v>156718</v>
      </c>
      <c r="Z157" s="1">
        <v>45890</v>
      </c>
      <c r="AA157" s="1">
        <v>45890</v>
      </c>
      <c r="AB157" s="1">
        <v>45897</v>
      </c>
      <c r="AC157" s="1">
        <v>45929</v>
      </c>
      <c r="AD157" s="1">
        <v>45929</v>
      </c>
      <c r="AE157" s="1">
        <v>45929</v>
      </c>
      <c r="AF157" s="1">
        <v>45929</v>
      </c>
      <c r="AG157" s="1"/>
      <c r="AH157" s="1"/>
      <c r="AI157" s="1"/>
      <c r="AJ157" s="1"/>
      <c r="AK157" s="1"/>
      <c r="AL157" s="1"/>
      <c r="AM157" s="9" t="s">
        <v>619</v>
      </c>
      <c r="AN157" s="2">
        <f>+Pedidos_Pistachos[[#This Row],[CantidadPedida]]</f>
        <v>980</v>
      </c>
      <c r="AO157" s="2">
        <f>+Pedidos_Pistachos[[#This Row],[Cajas]]*2</f>
        <v>1960</v>
      </c>
    </row>
    <row r="158" spans="1:41" x14ac:dyDescent="0.25">
      <c r="A158">
        <v>77734</v>
      </c>
      <c r="B158">
        <v>4</v>
      </c>
      <c r="C158" s="9" t="s">
        <v>40</v>
      </c>
      <c r="D158" s="9" t="s">
        <v>407</v>
      </c>
      <c r="E158" s="9" t="s">
        <v>126</v>
      </c>
      <c r="F158" s="9" t="s">
        <v>127</v>
      </c>
      <c r="G158" s="9" t="s">
        <v>46</v>
      </c>
      <c r="H158" s="9" t="s">
        <v>47</v>
      </c>
      <c r="I158" s="6">
        <v>10</v>
      </c>
      <c r="J158" s="8">
        <v>27.9</v>
      </c>
      <c r="K158" s="6">
        <v>10</v>
      </c>
      <c r="L158" s="6">
        <v>10</v>
      </c>
      <c r="M158" s="6">
        <v>100</v>
      </c>
      <c r="N158" s="9" t="s">
        <v>42</v>
      </c>
      <c r="O158" s="9" t="s">
        <v>48</v>
      </c>
      <c r="P158" s="9" t="s">
        <v>41</v>
      </c>
      <c r="Q158" s="9" t="s">
        <v>520</v>
      </c>
      <c r="R158" s="9" t="s">
        <v>706</v>
      </c>
      <c r="S158" s="9" t="s">
        <v>522</v>
      </c>
      <c r="T158" s="9" t="s">
        <v>523</v>
      </c>
      <c r="U158" s="9" t="s">
        <v>39</v>
      </c>
      <c r="V158">
        <v>141496</v>
      </c>
      <c r="W158" s="1">
        <v>45929</v>
      </c>
      <c r="X158" s="9" t="s">
        <v>53</v>
      </c>
      <c r="Y158">
        <v>154941</v>
      </c>
      <c r="Z158" s="1">
        <v>45881</v>
      </c>
      <c r="AA158" s="1">
        <v>45926</v>
      </c>
      <c r="AB158" s="1">
        <v>45926</v>
      </c>
      <c r="AC158" s="1">
        <v>45929</v>
      </c>
      <c r="AD158" s="1">
        <v>45929</v>
      </c>
      <c r="AE158" s="1">
        <v>45929</v>
      </c>
      <c r="AF158" s="1">
        <v>45929</v>
      </c>
      <c r="AG158" s="1"/>
      <c r="AH158" s="1"/>
      <c r="AI158" s="1"/>
      <c r="AJ158" s="1"/>
      <c r="AK158" s="1"/>
      <c r="AL158" s="1"/>
      <c r="AM158" s="9" t="s">
        <v>619</v>
      </c>
      <c r="AN158" s="2">
        <f>+Pedidos_Pistachos[[#This Row],[CantidadPedida]]</f>
        <v>10</v>
      </c>
      <c r="AO158" s="2">
        <f>+Pedidos_Pistachos[[#This Row],[Cajas]]*2</f>
        <v>20</v>
      </c>
    </row>
    <row r="159" spans="1:41" x14ac:dyDescent="0.25">
      <c r="A159">
        <v>77734</v>
      </c>
      <c r="B159">
        <v>5</v>
      </c>
      <c r="C159" s="9" t="s">
        <v>40</v>
      </c>
      <c r="D159" s="9" t="s">
        <v>407</v>
      </c>
      <c r="E159" s="9" t="s">
        <v>126</v>
      </c>
      <c r="F159" s="9" t="s">
        <v>127</v>
      </c>
      <c r="G159" s="9" t="s">
        <v>46</v>
      </c>
      <c r="H159" s="9" t="s">
        <v>47</v>
      </c>
      <c r="I159" s="6">
        <v>10</v>
      </c>
      <c r="J159" s="8">
        <v>28.9</v>
      </c>
      <c r="K159" s="6">
        <v>10</v>
      </c>
      <c r="L159" s="6">
        <v>10</v>
      </c>
      <c r="M159" s="6">
        <v>100</v>
      </c>
      <c r="N159" s="9" t="s">
        <v>42</v>
      </c>
      <c r="O159" s="9" t="s">
        <v>48</v>
      </c>
      <c r="P159" s="9" t="s">
        <v>41</v>
      </c>
      <c r="Q159" s="9" t="s">
        <v>520</v>
      </c>
      <c r="R159" s="9" t="s">
        <v>707</v>
      </c>
      <c r="S159" s="9" t="s">
        <v>522</v>
      </c>
      <c r="T159" s="9" t="s">
        <v>523</v>
      </c>
      <c r="U159" s="9" t="s">
        <v>39</v>
      </c>
      <c r="V159">
        <v>141495</v>
      </c>
      <c r="W159" s="1">
        <v>45929</v>
      </c>
      <c r="X159" s="9" t="s">
        <v>53</v>
      </c>
      <c r="Y159">
        <v>154943</v>
      </c>
      <c r="Z159" s="1">
        <v>45881</v>
      </c>
      <c r="AA159" s="1">
        <v>45925</v>
      </c>
      <c r="AB159" s="1">
        <v>45926</v>
      </c>
      <c r="AC159" s="1">
        <v>45929</v>
      </c>
      <c r="AD159" s="1">
        <v>45929</v>
      </c>
      <c r="AE159" s="1">
        <v>45929</v>
      </c>
      <c r="AF159" s="1">
        <v>45929</v>
      </c>
      <c r="AG159" s="1"/>
      <c r="AH159" s="1"/>
      <c r="AI159" s="1"/>
      <c r="AJ159" s="1"/>
      <c r="AK159" s="1"/>
      <c r="AL159" s="1"/>
      <c r="AM159" s="9" t="s">
        <v>619</v>
      </c>
      <c r="AN159" s="2">
        <f>+Pedidos_Pistachos[[#This Row],[CantidadPedida]]</f>
        <v>10</v>
      </c>
      <c r="AO159" s="2">
        <f>+Pedidos_Pistachos[[#This Row],[Cajas]]*2</f>
        <v>20</v>
      </c>
    </row>
    <row r="160" spans="1:41" x14ac:dyDescent="0.25">
      <c r="A160">
        <v>78574</v>
      </c>
      <c r="B160">
        <v>4</v>
      </c>
      <c r="C160" s="9" t="s">
        <v>40</v>
      </c>
      <c r="D160" s="9" t="s">
        <v>167</v>
      </c>
      <c r="E160" s="9" t="s">
        <v>605</v>
      </c>
      <c r="F160" s="9" t="s">
        <v>606</v>
      </c>
      <c r="G160" s="9" t="s">
        <v>46</v>
      </c>
      <c r="H160" s="9" t="s">
        <v>47</v>
      </c>
      <c r="I160" s="6">
        <v>210</v>
      </c>
      <c r="J160" s="8">
        <v>34.78</v>
      </c>
      <c r="K160" s="6">
        <v>210</v>
      </c>
      <c r="L160" s="6">
        <v>210</v>
      </c>
      <c r="M160" s="6">
        <v>2100</v>
      </c>
      <c r="N160" s="9" t="s">
        <v>42</v>
      </c>
      <c r="O160" s="9" t="s">
        <v>48</v>
      </c>
      <c r="P160" s="9" t="s">
        <v>41</v>
      </c>
      <c r="Q160" s="9" t="s">
        <v>725</v>
      </c>
      <c r="R160" s="9" t="s">
        <v>726</v>
      </c>
      <c r="S160" s="9" t="s">
        <v>727</v>
      </c>
      <c r="T160" s="9" t="s">
        <v>728</v>
      </c>
      <c r="U160" s="9" t="s">
        <v>39</v>
      </c>
      <c r="V160">
        <v>142261</v>
      </c>
      <c r="W160" s="1">
        <v>45933</v>
      </c>
      <c r="X160" s="9" t="s">
        <v>53</v>
      </c>
      <c r="Y160">
        <v>159496</v>
      </c>
      <c r="Z160" s="1">
        <v>45905</v>
      </c>
      <c r="AA160" s="1">
        <v>45905</v>
      </c>
      <c r="AB160" s="1">
        <v>45908</v>
      </c>
      <c r="AC160" s="1">
        <v>45933</v>
      </c>
      <c r="AD160" s="1">
        <v>45933</v>
      </c>
      <c r="AE160" s="1">
        <v>45933</v>
      </c>
      <c r="AF160" s="1">
        <v>45933</v>
      </c>
      <c r="AG160" s="1"/>
      <c r="AH160" s="1"/>
      <c r="AI160" s="1"/>
      <c r="AJ160" s="1"/>
      <c r="AK160" s="1"/>
      <c r="AL160" s="1"/>
      <c r="AM160" s="9" t="s">
        <v>619</v>
      </c>
      <c r="AN160" s="2">
        <f>+Pedidos_Pistachos[[#This Row],[CantidadPedida]]</f>
        <v>210</v>
      </c>
      <c r="AO160" s="2">
        <f>+Pedidos_Pistachos[[#This Row],[Cajas]]*2</f>
        <v>420</v>
      </c>
    </row>
    <row r="161" spans="1:41" x14ac:dyDescent="0.25">
      <c r="A161">
        <v>78574</v>
      </c>
      <c r="B161">
        <v>1</v>
      </c>
      <c r="C161" s="9" t="s">
        <v>40</v>
      </c>
      <c r="D161" s="9" t="s">
        <v>167</v>
      </c>
      <c r="E161" s="9" t="s">
        <v>44</v>
      </c>
      <c r="F161" s="9" t="s">
        <v>45</v>
      </c>
      <c r="G161" s="9" t="s">
        <v>46</v>
      </c>
      <c r="H161" s="9" t="s">
        <v>47</v>
      </c>
      <c r="I161" s="6">
        <v>210</v>
      </c>
      <c r="J161" s="8">
        <v>37</v>
      </c>
      <c r="K161" s="6">
        <v>210</v>
      </c>
      <c r="L161" s="6">
        <v>210</v>
      </c>
      <c r="M161" s="6">
        <v>2100</v>
      </c>
      <c r="N161" s="9" t="s">
        <v>42</v>
      </c>
      <c r="O161" s="9" t="s">
        <v>48</v>
      </c>
      <c r="P161" s="9" t="s">
        <v>41</v>
      </c>
      <c r="Q161" s="9" t="s">
        <v>725</v>
      </c>
      <c r="R161" s="9" t="s">
        <v>729</v>
      </c>
      <c r="S161" s="9" t="s">
        <v>727</v>
      </c>
      <c r="T161" s="9" t="s">
        <v>728</v>
      </c>
      <c r="U161" s="9" t="s">
        <v>39</v>
      </c>
      <c r="V161">
        <v>142262</v>
      </c>
      <c r="W161" s="1">
        <v>45933</v>
      </c>
      <c r="X161" s="9" t="s">
        <v>53</v>
      </c>
      <c r="Y161">
        <v>159464</v>
      </c>
      <c r="Z161" s="1">
        <v>45905</v>
      </c>
      <c r="AA161" s="1">
        <v>45905</v>
      </c>
      <c r="AB161" s="1">
        <v>45905</v>
      </c>
      <c r="AC161" s="1">
        <v>45933</v>
      </c>
      <c r="AD161" s="1">
        <v>45933</v>
      </c>
      <c r="AE161" s="1">
        <v>45933</v>
      </c>
      <c r="AF161" s="1">
        <v>45933</v>
      </c>
      <c r="AG161" s="1"/>
      <c r="AH161" s="1"/>
      <c r="AI161" s="1"/>
      <c r="AJ161" s="1"/>
      <c r="AK161" s="1"/>
      <c r="AL161" s="1"/>
      <c r="AM161" s="9" t="s">
        <v>619</v>
      </c>
      <c r="AN161" s="2">
        <f>+Pedidos_Pistachos[[#This Row],[CantidadPedida]]</f>
        <v>210</v>
      </c>
      <c r="AO161" s="2">
        <f>+Pedidos_Pistachos[[#This Row],[Cajas]]*2</f>
        <v>420</v>
      </c>
    </row>
    <row r="162" spans="1:41" x14ac:dyDescent="0.25">
      <c r="A162">
        <v>79546</v>
      </c>
      <c r="B162">
        <v>1</v>
      </c>
      <c r="C162" s="9" t="s">
        <v>40</v>
      </c>
      <c r="D162" s="9" t="s">
        <v>252</v>
      </c>
      <c r="E162" s="9" t="s">
        <v>602</v>
      </c>
      <c r="F162" s="9" t="s">
        <v>603</v>
      </c>
      <c r="G162" s="9" t="s">
        <v>46</v>
      </c>
      <c r="H162" s="9" t="s">
        <v>47</v>
      </c>
      <c r="I162" s="6">
        <v>70</v>
      </c>
      <c r="J162" s="8">
        <v>36</v>
      </c>
      <c r="K162" s="6">
        <v>70</v>
      </c>
      <c r="L162" s="6">
        <v>70</v>
      </c>
      <c r="M162" s="6">
        <v>700</v>
      </c>
      <c r="N162" s="9" t="s">
        <v>42</v>
      </c>
      <c r="O162" s="9" t="s">
        <v>48</v>
      </c>
      <c r="P162" s="9" t="s">
        <v>41</v>
      </c>
      <c r="Q162" s="9" t="s">
        <v>708</v>
      </c>
      <c r="R162" s="9" t="s">
        <v>709</v>
      </c>
      <c r="S162" s="9" t="s">
        <v>710</v>
      </c>
      <c r="T162" s="9" t="s">
        <v>711</v>
      </c>
      <c r="U162" s="9" t="s">
        <v>39</v>
      </c>
      <c r="V162">
        <v>142855</v>
      </c>
      <c r="W162" s="1">
        <v>45939</v>
      </c>
      <c r="X162" s="9" t="s">
        <v>53</v>
      </c>
      <c r="Y162">
        <v>164858</v>
      </c>
      <c r="Z162" s="1">
        <v>45939</v>
      </c>
      <c r="AA162" s="1">
        <v>45939</v>
      </c>
      <c r="AB162" s="1">
        <v>45939</v>
      </c>
      <c r="AC162" s="1">
        <v>45939</v>
      </c>
      <c r="AD162" s="1">
        <v>45939</v>
      </c>
      <c r="AE162" s="1">
        <v>45939</v>
      </c>
      <c r="AF162" s="1">
        <v>45939</v>
      </c>
      <c r="AG162" s="1"/>
      <c r="AH162" s="1"/>
      <c r="AI162" s="1"/>
      <c r="AJ162" s="1"/>
      <c r="AK162" s="1"/>
      <c r="AL162" s="1"/>
      <c r="AM162" s="9" t="s">
        <v>619</v>
      </c>
      <c r="AN162" s="2">
        <f>+Pedidos_Pistachos[[#This Row],[CantidadPedida]]</f>
        <v>70</v>
      </c>
      <c r="AO162" s="2">
        <f>+Pedidos_Pistachos[[#This Row],[Cajas]]*2</f>
        <v>140</v>
      </c>
    </row>
    <row r="163" spans="1:41" x14ac:dyDescent="0.25">
      <c r="A163">
        <v>79530</v>
      </c>
      <c r="B163">
        <v>1</v>
      </c>
      <c r="C163" s="9" t="s">
        <v>40</v>
      </c>
      <c r="D163" s="9" t="s">
        <v>712</v>
      </c>
      <c r="E163" s="9" t="s">
        <v>624</v>
      </c>
      <c r="F163" s="9" t="s">
        <v>620</v>
      </c>
      <c r="G163" s="9" t="s">
        <v>46</v>
      </c>
      <c r="H163" s="9" t="s">
        <v>47</v>
      </c>
      <c r="I163" s="6">
        <v>35</v>
      </c>
      <c r="J163" s="8">
        <v>38</v>
      </c>
      <c r="K163" s="6">
        <v>35</v>
      </c>
      <c r="L163" s="6">
        <v>35</v>
      </c>
      <c r="M163" s="6">
        <v>350</v>
      </c>
      <c r="N163" s="9" t="s">
        <v>42</v>
      </c>
      <c r="O163" s="9" t="s">
        <v>48</v>
      </c>
      <c r="P163" s="9" t="s">
        <v>41</v>
      </c>
      <c r="Q163" s="9" t="s">
        <v>713</v>
      </c>
      <c r="R163" s="9" t="s">
        <v>714</v>
      </c>
      <c r="S163" s="9" t="s">
        <v>715</v>
      </c>
      <c r="T163" s="9" t="s">
        <v>716</v>
      </c>
      <c r="U163" s="9" t="s">
        <v>39</v>
      </c>
      <c r="V163">
        <v>142710</v>
      </c>
      <c r="W163" s="1">
        <v>45939</v>
      </c>
      <c r="X163" s="9" t="s">
        <v>53</v>
      </c>
      <c r="Y163">
        <v>164803</v>
      </c>
      <c r="Z163" s="1">
        <v>45939</v>
      </c>
      <c r="AA163" s="1">
        <v>45939</v>
      </c>
      <c r="AB163" s="1">
        <v>45939</v>
      </c>
      <c r="AC163" s="1">
        <v>45939</v>
      </c>
      <c r="AD163" s="1">
        <v>45939</v>
      </c>
      <c r="AE163" s="1">
        <v>45939</v>
      </c>
      <c r="AF163" s="1">
        <v>45939</v>
      </c>
      <c r="AG163" s="1"/>
      <c r="AH163" s="1"/>
      <c r="AI163" s="1"/>
      <c r="AJ163" s="1"/>
      <c r="AK163" s="1"/>
      <c r="AL163" s="1"/>
      <c r="AM163" s="9" t="s">
        <v>619</v>
      </c>
      <c r="AN163" s="2">
        <f>+Pedidos_Pistachos[[#This Row],[CantidadPedida]]</f>
        <v>35</v>
      </c>
      <c r="AO163" s="2">
        <f>+Pedidos_Pistachos[[#This Row],[Cajas]]*2</f>
        <v>70</v>
      </c>
    </row>
    <row r="164" spans="1:41" x14ac:dyDescent="0.25">
      <c r="A164">
        <v>78783</v>
      </c>
      <c r="B164">
        <v>1</v>
      </c>
      <c r="C164" s="9" t="s">
        <v>40</v>
      </c>
      <c r="D164" s="9" t="s">
        <v>643</v>
      </c>
      <c r="E164" s="9" t="s">
        <v>44</v>
      </c>
      <c r="F164" s="9" t="s">
        <v>45</v>
      </c>
      <c r="G164" s="9" t="s">
        <v>46</v>
      </c>
      <c r="H164" s="9" t="s">
        <v>47</v>
      </c>
      <c r="I164" s="6">
        <v>70</v>
      </c>
      <c r="J164" s="8">
        <v>37</v>
      </c>
      <c r="K164" s="6">
        <v>70</v>
      </c>
      <c r="L164" s="6">
        <v>70</v>
      </c>
      <c r="M164" s="6">
        <v>700</v>
      </c>
      <c r="N164" s="9" t="s">
        <v>42</v>
      </c>
      <c r="O164" s="9" t="s">
        <v>48</v>
      </c>
      <c r="P164" s="9" t="s">
        <v>41</v>
      </c>
      <c r="Q164" s="9" t="s">
        <v>717</v>
      </c>
      <c r="R164" s="9" t="s">
        <v>718</v>
      </c>
      <c r="S164" s="9" t="s">
        <v>719</v>
      </c>
      <c r="T164" s="9" t="s">
        <v>720</v>
      </c>
      <c r="U164" s="9" t="s">
        <v>39</v>
      </c>
      <c r="V164">
        <v>142861</v>
      </c>
      <c r="W164" s="1">
        <v>45939</v>
      </c>
      <c r="X164" s="9" t="s">
        <v>53</v>
      </c>
      <c r="Y164">
        <v>160578</v>
      </c>
      <c r="Z164" s="1">
        <v>45911</v>
      </c>
      <c r="AA164" s="1">
        <v>45939</v>
      </c>
      <c r="AB164" s="1">
        <v>45939</v>
      </c>
      <c r="AC164" s="1">
        <v>45939</v>
      </c>
      <c r="AD164" s="1">
        <v>45939</v>
      </c>
      <c r="AE164" s="1">
        <v>45939</v>
      </c>
      <c r="AF164" s="1">
        <v>45939</v>
      </c>
      <c r="AG164" s="1"/>
      <c r="AH164" s="1"/>
      <c r="AI164" s="1"/>
      <c r="AJ164" s="1"/>
      <c r="AK164" s="1"/>
      <c r="AL164" s="1"/>
      <c r="AM164" s="9" t="s">
        <v>619</v>
      </c>
      <c r="AN164" s="2">
        <f>+Pedidos_Pistachos[[#This Row],[CantidadPedida]]</f>
        <v>70</v>
      </c>
      <c r="AO164" s="2">
        <f>+Pedidos_Pistachos[[#This Row],[Cajas]]*2</f>
        <v>140</v>
      </c>
    </row>
    <row r="165" spans="1:41" x14ac:dyDescent="0.25">
      <c r="A165">
        <v>78611</v>
      </c>
      <c r="B165">
        <v>1</v>
      </c>
      <c r="C165" s="9" t="s">
        <v>40</v>
      </c>
      <c r="D165" s="9" t="s">
        <v>618</v>
      </c>
      <c r="E165" s="9" t="s">
        <v>126</v>
      </c>
      <c r="F165" s="9" t="s">
        <v>127</v>
      </c>
      <c r="G165" s="9" t="s">
        <v>46</v>
      </c>
      <c r="H165" s="9" t="s">
        <v>47</v>
      </c>
      <c r="I165" s="6">
        <v>70</v>
      </c>
      <c r="J165" s="8">
        <v>37.9</v>
      </c>
      <c r="K165" s="6">
        <v>70</v>
      </c>
      <c r="L165" s="6">
        <v>70</v>
      </c>
      <c r="M165" s="6">
        <v>700</v>
      </c>
      <c r="N165" s="9" t="s">
        <v>42</v>
      </c>
      <c r="O165" s="9" t="s">
        <v>48</v>
      </c>
      <c r="P165" s="9" t="s">
        <v>41</v>
      </c>
      <c r="Q165" s="9" t="s">
        <v>721</v>
      </c>
      <c r="R165" s="9" t="s">
        <v>722</v>
      </c>
      <c r="S165" s="9" t="s">
        <v>723</v>
      </c>
      <c r="T165" s="9" t="s">
        <v>724</v>
      </c>
      <c r="U165" s="9" t="s">
        <v>39</v>
      </c>
      <c r="V165">
        <v>142720</v>
      </c>
      <c r="W165" s="1">
        <v>45939</v>
      </c>
      <c r="X165" s="9" t="s">
        <v>53</v>
      </c>
      <c r="Y165">
        <v>159661</v>
      </c>
      <c r="Z165" s="1">
        <v>45908</v>
      </c>
      <c r="AA165" s="1">
        <v>45908</v>
      </c>
      <c r="AB165" s="1">
        <v>45908</v>
      </c>
      <c r="AC165" s="1">
        <v>45939</v>
      </c>
      <c r="AD165" s="1">
        <v>45939</v>
      </c>
      <c r="AE165" s="1">
        <v>45939</v>
      </c>
      <c r="AF165" s="1">
        <v>45939</v>
      </c>
      <c r="AG165" s="1"/>
      <c r="AH165" s="1"/>
      <c r="AI165" s="1"/>
      <c r="AJ165" s="1"/>
      <c r="AK165" s="1"/>
      <c r="AL165" s="1"/>
      <c r="AM165" s="9" t="s">
        <v>619</v>
      </c>
      <c r="AN165" s="2">
        <f>+Pedidos_Pistachos[[#This Row],[CantidadPedida]]</f>
        <v>70</v>
      </c>
      <c r="AO165" s="2">
        <f>+Pedidos_Pistachos[[#This Row],[Cajas]]*2</f>
        <v>140</v>
      </c>
    </row>
    <row r="166" spans="1:41" x14ac:dyDescent="0.25">
      <c r="A166">
        <v>78205</v>
      </c>
      <c r="B166">
        <v>1</v>
      </c>
      <c r="C166" s="9" t="s">
        <v>40</v>
      </c>
      <c r="D166" s="9" t="s">
        <v>252</v>
      </c>
      <c r="E166" s="9" t="s">
        <v>126</v>
      </c>
      <c r="F166" s="9" t="s">
        <v>127</v>
      </c>
      <c r="G166" s="9" t="s">
        <v>46</v>
      </c>
      <c r="H166" s="9" t="s">
        <v>47</v>
      </c>
      <c r="I166" s="6">
        <v>70</v>
      </c>
      <c r="J166" s="8">
        <v>37.9</v>
      </c>
      <c r="K166" s="6">
        <v>70</v>
      </c>
      <c r="L166" s="6">
        <v>70</v>
      </c>
      <c r="M166" s="6">
        <v>700</v>
      </c>
      <c r="N166" s="9" t="s">
        <v>42</v>
      </c>
      <c r="O166" s="9" t="s">
        <v>48</v>
      </c>
      <c r="P166" s="9" t="s">
        <v>41</v>
      </c>
      <c r="Q166" s="9" t="s">
        <v>730</v>
      </c>
      <c r="R166" s="9" t="s">
        <v>731</v>
      </c>
      <c r="S166" s="9" t="s">
        <v>732</v>
      </c>
      <c r="T166" s="9" t="s">
        <v>733</v>
      </c>
      <c r="U166" s="9" t="s">
        <v>39</v>
      </c>
      <c r="V166">
        <v>142856</v>
      </c>
      <c r="W166" s="1">
        <v>45939</v>
      </c>
      <c r="X166" s="9" t="s">
        <v>53</v>
      </c>
      <c r="Y166">
        <v>157531</v>
      </c>
      <c r="Z166" s="1">
        <v>45895</v>
      </c>
      <c r="AA166" s="1">
        <v>45895</v>
      </c>
      <c r="AB166" s="1">
        <v>45908</v>
      </c>
      <c r="AC166" s="1">
        <v>45939</v>
      </c>
      <c r="AD166" s="1">
        <v>45939</v>
      </c>
      <c r="AE166" s="1">
        <v>45939</v>
      </c>
      <c r="AF166" s="1">
        <v>45939</v>
      </c>
      <c r="AG166" s="1"/>
      <c r="AH166" s="1"/>
      <c r="AI166" s="1"/>
      <c r="AJ166" s="1"/>
      <c r="AK166" s="1"/>
      <c r="AL166" s="1"/>
      <c r="AM166" s="9" t="s">
        <v>619</v>
      </c>
      <c r="AN166" s="2">
        <f>+Pedidos_Pistachos[[#This Row],[CantidadPedida]]</f>
        <v>70</v>
      </c>
      <c r="AO166" s="2">
        <f>+Pedidos_Pistachos[[#This Row],[Cajas]]*2</f>
        <v>140</v>
      </c>
    </row>
    <row r="167" spans="1:41" x14ac:dyDescent="0.25">
      <c r="A167">
        <v>79578</v>
      </c>
      <c r="B167">
        <v>1</v>
      </c>
      <c r="C167" s="9" t="s">
        <v>40</v>
      </c>
      <c r="D167" s="9" t="s">
        <v>607</v>
      </c>
      <c r="E167" s="9" t="s">
        <v>44</v>
      </c>
      <c r="F167" s="9" t="s">
        <v>45</v>
      </c>
      <c r="G167" s="9" t="s">
        <v>46</v>
      </c>
      <c r="H167" s="9" t="s">
        <v>47</v>
      </c>
      <c r="I167" s="6">
        <v>70</v>
      </c>
      <c r="J167" s="8">
        <v>37</v>
      </c>
      <c r="K167" s="6">
        <v>70</v>
      </c>
      <c r="L167" s="6">
        <v>70</v>
      </c>
      <c r="M167" s="6">
        <v>700</v>
      </c>
      <c r="N167" s="9" t="s">
        <v>42</v>
      </c>
      <c r="O167" s="9" t="s">
        <v>48</v>
      </c>
      <c r="P167" s="9" t="s">
        <v>41</v>
      </c>
      <c r="Q167" s="9" t="s">
        <v>738</v>
      </c>
      <c r="R167" s="9" t="s">
        <v>739</v>
      </c>
      <c r="S167" s="9" t="s">
        <v>740</v>
      </c>
      <c r="T167" s="9" t="s">
        <v>741</v>
      </c>
      <c r="U167" s="9" t="s">
        <v>39</v>
      </c>
      <c r="V167">
        <v>143312</v>
      </c>
      <c r="W167" s="1">
        <v>45946</v>
      </c>
      <c r="X167" s="9" t="s">
        <v>53</v>
      </c>
      <c r="Y167">
        <v>164970</v>
      </c>
      <c r="Z167" s="1">
        <v>45943</v>
      </c>
      <c r="AA167" s="1">
        <v>45946</v>
      </c>
      <c r="AB167" s="1">
        <v>45946</v>
      </c>
      <c r="AC167" s="1">
        <v>45946</v>
      </c>
      <c r="AD167" s="1">
        <v>45946</v>
      </c>
      <c r="AE167" s="1">
        <v>45946</v>
      </c>
      <c r="AF167" s="1">
        <v>45946</v>
      </c>
      <c r="AG167" s="1"/>
      <c r="AH167" s="1"/>
      <c r="AI167" s="1"/>
      <c r="AJ167" s="1"/>
      <c r="AK167" s="1"/>
      <c r="AL167" s="1"/>
      <c r="AM167" s="9" t="s">
        <v>619</v>
      </c>
      <c r="AN167" s="2">
        <f>+Pedidos_Pistachos[[#This Row],[CantidadPedida]]</f>
        <v>70</v>
      </c>
      <c r="AO167" s="2">
        <f>+Pedidos_Pistachos[[#This Row],[Cajas]]*2</f>
        <v>140</v>
      </c>
    </row>
    <row r="168" spans="1:41" x14ac:dyDescent="0.25">
      <c r="A168">
        <v>79077</v>
      </c>
      <c r="B168">
        <v>1</v>
      </c>
      <c r="C168" s="9" t="s">
        <v>40</v>
      </c>
      <c r="D168" s="9" t="s">
        <v>407</v>
      </c>
      <c r="E168" s="9" t="s">
        <v>602</v>
      </c>
      <c r="F168" s="9" t="s">
        <v>603</v>
      </c>
      <c r="G168" s="9" t="s">
        <v>46</v>
      </c>
      <c r="H168" s="9" t="s">
        <v>47</v>
      </c>
      <c r="I168" s="6">
        <v>1050</v>
      </c>
      <c r="J168" s="8">
        <v>33</v>
      </c>
      <c r="K168" s="6">
        <v>1050</v>
      </c>
      <c r="L168" s="6">
        <v>1050</v>
      </c>
      <c r="M168" s="6">
        <v>10500</v>
      </c>
      <c r="N168" s="9" t="s">
        <v>42</v>
      </c>
      <c r="O168" s="9" t="s">
        <v>48</v>
      </c>
      <c r="P168" s="9" t="s">
        <v>41</v>
      </c>
      <c r="Q168" s="9" t="s">
        <v>742</v>
      </c>
      <c r="R168" s="9" t="s">
        <v>743</v>
      </c>
      <c r="S168" s="9" t="s">
        <v>744</v>
      </c>
      <c r="T168" s="9" t="s">
        <v>745</v>
      </c>
      <c r="U168" s="9" t="s">
        <v>39</v>
      </c>
      <c r="V168">
        <v>143324</v>
      </c>
      <c r="W168" s="1">
        <v>45946</v>
      </c>
      <c r="X168" s="9" t="s">
        <v>53</v>
      </c>
      <c r="Y168">
        <v>162169</v>
      </c>
      <c r="Z168" s="1">
        <v>45919</v>
      </c>
      <c r="AA168" s="1">
        <v>45946</v>
      </c>
      <c r="AB168" s="1">
        <v>45946</v>
      </c>
      <c r="AC168" s="1">
        <v>45946</v>
      </c>
      <c r="AD168" s="1">
        <v>45946</v>
      </c>
      <c r="AE168" s="1">
        <v>45946</v>
      </c>
      <c r="AF168" s="1">
        <v>45946</v>
      </c>
      <c r="AG168" s="1"/>
      <c r="AH168" s="1"/>
      <c r="AI168" s="1"/>
      <c r="AJ168" s="1"/>
      <c r="AK168" s="1"/>
      <c r="AL168" s="1"/>
      <c r="AM168" s="9" t="s">
        <v>619</v>
      </c>
      <c r="AN168" s="2">
        <f>+Pedidos_Pistachos[[#This Row],[CantidadPedida]]</f>
        <v>1050</v>
      </c>
      <c r="AO168" s="2">
        <f>+Pedidos_Pistachos[[#This Row],[Cajas]]*2</f>
        <v>2100</v>
      </c>
    </row>
    <row r="169" spans="1:41" x14ac:dyDescent="0.25">
      <c r="A169">
        <v>78574</v>
      </c>
      <c r="B169">
        <v>5</v>
      </c>
      <c r="C169" s="9" t="s">
        <v>40</v>
      </c>
      <c r="D169" s="9" t="s">
        <v>167</v>
      </c>
      <c r="E169" s="9" t="s">
        <v>126</v>
      </c>
      <c r="F169" s="9" t="s">
        <v>127</v>
      </c>
      <c r="G169" s="9" t="s">
        <v>46</v>
      </c>
      <c r="H169" s="9" t="s">
        <v>47</v>
      </c>
      <c r="I169" s="6">
        <v>420</v>
      </c>
      <c r="J169" s="8">
        <v>37</v>
      </c>
      <c r="K169" s="6">
        <v>420</v>
      </c>
      <c r="L169" s="6">
        <v>420</v>
      </c>
      <c r="M169" s="6">
        <v>4200</v>
      </c>
      <c r="N169" s="9" t="s">
        <v>42</v>
      </c>
      <c r="O169" s="9" t="s">
        <v>48</v>
      </c>
      <c r="P169" s="9" t="s">
        <v>41</v>
      </c>
      <c r="Q169" s="9" t="s">
        <v>746</v>
      </c>
      <c r="R169" s="9" t="s">
        <v>747</v>
      </c>
      <c r="S169" s="9" t="s">
        <v>748</v>
      </c>
      <c r="T169" s="9" t="s">
        <v>749</v>
      </c>
      <c r="U169" s="9" t="s">
        <v>39</v>
      </c>
      <c r="V169">
        <v>143412</v>
      </c>
      <c r="W169" s="1">
        <v>45947</v>
      </c>
      <c r="X169" s="9" t="s">
        <v>53</v>
      </c>
      <c r="Y169">
        <v>164422</v>
      </c>
      <c r="Z169" s="1">
        <v>45933</v>
      </c>
      <c r="AA169" s="1">
        <v>45947</v>
      </c>
      <c r="AB169" s="1">
        <v>45947</v>
      </c>
      <c r="AC169" s="1">
        <v>45947</v>
      </c>
      <c r="AD169" s="1">
        <v>45947</v>
      </c>
      <c r="AE169" s="1">
        <v>45947</v>
      </c>
      <c r="AF169" s="1">
        <v>45947</v>
      </c>
      <c r="AG169" s="1"/>
      <c r="AH169" s="1"/>
      <c r="AI169" s="1"/>
      <c r="AJ169" s="1"/>
      <c r="AK169" s="1"/>
      <c r="AL169" s="1"/>
      <c r="AM169" s="9" t="s">
        <v>619</v>
      </c>
      <c r="AN169" s="2">
        <f>+Pedidos_Pistachos[[#This Row],[CantidadPedida]]</f>
        <v>420</v>
      </c>
      <c r="AO169" s="2">
        <f>+Pedidos_Pistachos[[#This Row],[Cajas]]*2</f>
        <v>840</v>
      </c>
    </row>
    <row r="170" spans="1:41" x14ac:dyDescent="0.25">
      <c r="A170">
        <v>79882</v>
      </c>
      <c r="B170">
        <v>1</v>
      </c>
      <c r="C170" s="9" t="s">
        <v>38</v>
      </c>
      <c r="D170" s="9" t="s">
        <v>86</v>
      </c>
      <c r="E170" s="9" t="s">
        <v>594</v>
      </c>
      <c r="F170" s="9" t="s">
        <v>595</v>
      </c>
      <c r="G170" s="9" t="s">
        <v>46</v>
      </c>
      <c r="H170" s="9" t="s">
        <v>47</v>
      </c>
      <c r="I170" s="6">
        <v>70</v>
      </c>
      <c r="J170" s="8">
        <v>18.18</v>
      </c>
      <c r="K170" s="6">
        <v>70</v>
      </c>
      <c r="L170" s="6">
        <v>70</v>
      </c>
      <c r="M170" s="6">
        <v>700</v>
      </c>
      <c r="N170" s="9" t="s">
        <v>42</v>
      </c>
      <c r="O170" s="9" t="s">
        <v>48</v>
      </c>
      <c r="P170" s="9" t="s">
        <v>41</v>
      </c>
      <c r="Q170" s="9" t="s">
        <v>734</v>
      </c>
      <c r="R170" s="9" t="s">
        <v>735</v>
      </c>
      <c r="S170" s="9" t="s">
        <v>736</v>
      </c>
      <c r="T170" s="9" t="s">
        <v>737</v>
      </c>
      <c r="U170" s="9" t="s">
        <v>39</v>
      </c>
      <c r="V170">
        <v>144063</v>
      </c>
      <c r="W170" s="1">
        <v>45950</v>
      </c>
      <c r="X170" s="9" t="s">
        <v>53</v>
      </c>
      <c r="Y170">
        <v>166815</v>
      </c>
      <c r="Z170" s="1">
        <v>45950</v>
      </c>
      <c r="AA170" s="1">
        <v>45950</v>
      </c>
      <c r="AB170" s="1">
        <v>45950</v>
      </c>
      <c r="AC170" s="1">
        <v>45950</v>
      </c>
      <c r="AD170" s="1">
        <v>45950</v>
      </c>
      <c r="AE170" s="1">
        <v>45950</v>
      </c>
      <c r="AF170" s="1">
        <v>45950</v>
      </c>
      <c r="AG170" s="1"/>
      <c r="AH170" s="1"/>
      <c r="AI170" s="1"/>
      <c r="AJ170" s="1"/>
      <c r="AK170" s="1"/>
      <c r="AL170" s="1"/>
      <c r="AM170" s="9" t="s">
        <v>619</v>
      </c>
      <c r="AN170" s="2">
        <f>+Pedidos_Pistachos[[#This Row],[CantidadPedida]]</f>
        <v>70</v>
      </c>
      <c r="AO170" s="2">
        <f>+Pedidos_Pistachos[[#This Row],[Cajas]]*2</f>
        <v>140</v>
      </c>
    </row>
    <row r="171" spans="1:41" x14ac:dyDescent="0.25">
      <c r="A171">
        <v>80035</v>
      </c>
      <c r="B171">
        <v>1</v>
      </c>
      <c r="C171" s="9" t="s">
        <v>40</v>
      </c>
      <c r="D171" s="9" t="s">
        <v>768</v>
      </c>
      <c r="E171" s="9" t="s">
        <v>624</v>
      </c>
      <c r="F171" s="9" t="s">
        <v>620</v>
      </c>
      <c r="G171" s="9" t="s">
        <v>46</v>
      </c>
      <c r="H171" s="9" t="s">
        <v>47</v>
      </c>
      <c r="I171" s="6">
        <v>35</v>
      </c>
      <c r="J171" s="8">
        <v>38</v>
      </c>
      <c r="K171" s="6">
        <v>35</v>
      </c>
      <c r="L171" s="6">
        <v>35</v>
      </c>
      <c r="M171" s="6">
        <v>350</v>
      </c>
      <c r="N171" s="9" t="s">
        <v>42</v>
      </c>
      <c r="O171" s="9" t="s">
        <v>48</v>
      </c>
      <c r="P171" s="9" t="s">
        <v>41</v>
      </c>
      <c r="Q171" s="9" t="s">
        <v>769</v>
      </c>
      <c r="R171" s="9" t="s">
        <v>770</v>
      </c>
      <c r="S171" s="9" t="s">
        <v>771</v>
      </c>
      <c r="T171" s="9" t="s">
        <v>772</v>
      </c>
      <c r="U171" s="9" t="s">
        <v>39</v>
      </c>
      <c r="V171">
        <v>144852</v>
      </c>
      <c r="W171" s="1">
        <v>45953</v>
      </c>
      <c r="X171" s="9" t="s">
        <v>53</v>
      </c>
      <c r="Y171">
        <v>167784</v>
      </c>
      <c r="Z171" s="1">
        <v>45953</v>
      </c>
      <c r="AA171" s="1">
        <v>45953</v>
      </c>
      <c r="AB171" s="1">
        <v>45953</v>
      </c>
      <c r="AC171" s="1">
        <v>45953</v>
      </c>
      <c r="AD171" s="1">
        <v>45953</v>
      </c>
      <c r="AE171" s="1">
        <v>45953</v>
      </c>
      <c r="AF171" s="1">
        <v>45953</v>
      </c>
      <c r="AG171" s="1"/>
      <c r="AH171" s="1"/>
      <c r="AI171" s="1"/>
      <c r="AJ171" s="1"/>
      <c r="AK171" s="1"/>
      <c r="AL171" s="1"/>
      <c r="AM171" s="9" t="s">
        <v>619</v>
      </c>
      <c r="AN171" s="2">
        <f>+Pedidos_Pistachos[[#This Row],[CantidadPedida]]</f>
        <v>35</v>
      </c>
      <c r="AO171" s="2">
        <f>+Pedidos_Pistachos[[#This Row],[Cajas]]*2</f>
        <v>70</v>
      </c>
    </row>
    <row r="172" spans="1:41" x14ac:dyDescent="0.25">
      <c r="A172">
        <v>80115</v>
      </c>
      <c r="B172">
        <v>1</v>
      </c>
      <c r="C172" s="9" t="s">
        <v>40</v>
      </c>
      <c r="D172" s="9" t="s">
        <v>763</v>
      </c>
      <c r="E172" s="9" t="s">
        <v>624</v>
      </c>
      <c r="F172" s="9" t="s">
        <v>620</v>
      </c>
      <c r="G172" s="9" t="s">
        <v>46</v>
      </c>
      <c r="H172" s="9" t="s">
        <v>47</v>
      </c>
      <c r="I172" s="6">
        <v>35</v>
      </c>
      <c r="J172" s="8">
        <v>38</v>
      </c>
      <c r="K172" s="6">
        <v>35</v>
      </c>
      <c r="L172" s="6">
        <v>35</v>
      </c>
      <c r="M172" s="6">
        <v>350</v>
      </c>
      <c r="N172" s="9" t="s">
        <v>42</v>
      </c>
      <c r="O172" s="9" t="s">
        <v>48</v>
      </c>
      <c r="P172" s="9" t="s">
        <v>41</v>
      </c>
      <c r="Q172" s="9" t="s">
        <v>764</v>
      </c>
      <c r="R172" s="9" t="s">
        <v>765</v>
      </c>
      <c r="S172" s="9" t="s">
        <v>766</v>
      </c>
      <c r="T172" s="9" t="s">
        <v>767</v>
      </c>
      <c r="U172" s="9" t="s">
        <v>39</v>
      </c>
      <c r="V172">
        <v>145558</v>
      </c>
      <c r="W172" s="1">
        <v>45957</v>
      </c>
      <c r="X172" s="9" t="s">
        <v>53</v>
      </c>
      <c r="Y172">
        <v>168200</v>
      </c>
      <c r="Z172" s="1">
        <v>45957</v>
      </c>
      <c r="AA172" s="1">
        <v>45957</v>
      </c>
      <c r="AB172" s="1">
        <v>45957</v>
      </c>
      <c r="AC172" s="1">
        <v>45957</v>
      </c>
      <c r="AD172" s="1">
        <v>45957</v>
      </c>
      <c r="AE172" s="1">
        <v>45957</v>
      </c>
      <c r="AF172" s="1">
        <v>45957</v>
      </c>
      <c r="AG172" s="1"/>
      <c r="AH172" s="1"/>
      <c r="AI172" s="1"/>
      <c r="AJ172" s="1"/>
      <c r="AK172" s="1"/>
      <c r="AL172" s="1"/>
      <c r="AM172" s="9" t="s">
        <v>619</v>
      </c>
      <c r="AN172" s="2">
        <f>+Pedidos_Pistachos[[#This Row],[CantidadPedida]]</f>
        <v>35</v>
      </c>
      <c r="AO172" s="2">
        <f>+Pedidos_Pistachos[[#This Row],[Cajas]]*2</f>
        <v>70</v>
      </c>
    </row>
    <row r="173" spans="1:41" x14ac:dyDescent="0.25">
      <c r="A173">
        <v>80380</v>
      </c>
      <c r="B173">
        <v>1</v>
      </c>
      <c r="C173" s="9" t="s">
        <v>40</v>
      </c>
      <c r="D173" s="9" t="s">
        <v>132</v>
      </c>
      <c r="E173" s="9" t="s">
        <v>44</v>
      </c>
      <c r="F173" s="9" t="s">
        <v>45</v>
      </c>
      <c r="G173" s="9" t="s">
        <v>46</v>
      </c>
      <c r="H173" s="9" t="s">
        <v>47</v>
      </c>
      <c r="I173" s="6">
        <v>70</v>
      </c>
      <c r="J173" s="8">
        <v>37</v>
      </c>
      <c r="K173" s="6">
        <v>70</v>
      </c>
      <c r="L173" s="6">
        <v>70</v>
      </c>
      <c r="M173" s="6">
        <v>700</v>
      </c>
      <c r="N173" s="9" t="s">
        <v>42</v>
      </c>
      <c r="O173" s="9" t="s">
        <v>48</v>
      </c>
      <c r="P173" s="9" t="s">
        <v>41</v>
      </c>
      <c r="Q173" s="9" t="s">
        <v>759</v>
      </c>
      <c r="R173" s="9" t="s">
        <v>760</v>
      </c>
      <c r="S173" s="9" t="s">
        <v>761</v>
      </c>
      <c r="T173" s="9" t="s">
        <v>762</v>
      </c>
      <c r="U173" s="9" t="s">
        <v>39</v>
      </c>
      <c r="V173">
        <v>146959</v>
      </c>
      <c r="W173" s="1">
        <v>45965</v>
      </c>
      <c r="X173" s="9" t="s">
        <v>53</v>
      </c>
      <c r="Y173">
        <v>169997</v>
      </c>
      <c r="Z173" s="1">
        <v>45965</v>
      </c>
      <c r="AA173" s="1">
        <v>45965</v>
      </c>
      <c r="AB173" s="1">
        <v>45965</v>
      </c>
      <c r="AC173" s="1">
        <v>45965</v>
      </c>
      <c r="AD173" s="1">
        <v>45965</v>
      </c>
      <c r="AE173" s="1">
        <v>45965</v>
      </c>
      <c r="AF173" s="1">
        <v>45965</v>
      </c>
      <c r="AG173" s="1"/>
      <c r="AH173" s="1"/>
      <c r="AI173" s="1"/>
      <c r="AJ173" s="1"/>
      <c r="AK173" s="1"/>
      <c r="AL173" s="1"/>
      <c r="AM173" s="9" t="s">
        <v>619</v>
      </c>
      <c r="AN173" s="2">
        <f>+Pedidos_Pistachos[[#This Row],[CantidadPedida]]</f>
        <v>70</v>
      </c>
      <c r="AO173" s="2">
        <f>+Pedidos_Pistachos[[#This Row],[Cajas]]*2</f>
        <v>140</v>
      </c>
    </row>
    <row r="174" spans="1:41" x14ac:dyDescent="0.25">
      <c r="A174">
        <v>80428</v>
      </c>
      <c r="B174">
        <v>1</v>
      </c>
      <c r="C174" s="9" t="s">
        <v>38</v>
      </c>
      <c r="D174" s="9" t="s">
        <v>167</v>
      </c>
      <c r="E174" s="9" t="s">
        <v>602</v>
      </c>
      <c r="F174" s="9" t="s">
        <v>603</v>
      </c>
      <c r="G174" s="9" t="s">
        <v>46</v>
      </c>
      <c r="H174" s="9" t="s">
        <v>47</v>
      </c>
      <c r="I174" s="6">
        <v>210</v>
      </c>
      <c r="J174" s="8">
        <v>31.76</v>
      </c>
      <c r="K174" s="6">
        <v>210</v>
      </c>
      <c r="L174" s="6">
        <v>210</v>
      </c>
      <c r="M174" s="6">
        <v>2100</v>
      </c>
      <c r="N174" s="9" t="s">
        <v>42</v>
      </c>
      <c r="O174" s="9" t="s">
        <v>48</v>
      </c>
      <c r="P174" s="9" t="s">
        <v>41</v>
      </c>
      <c r="Q174" s="9" t="s">
        <v>750</v>
      </c>
      <c r="R174" s="9" t="s">
        <v>751</v>
      </c>
      <c r="S174" s="9" t="s">
        <v>752</v>
      </c>
      <c r="T174" s="9" t="s">
        <v>753</v>
      </c>
      <c r="U174" s="9" t="s">
        <v>39</v>
      </c>
      <c r="V174">
        <v>147380</v>
      </c>
      <c r="W174" s="1">
        <v>45966</v>
      </c>
      <c r="X174" s="9" t="s">
        <v>53</v>
      </c>
      <c r="Y174">
        <v>170249</v>
      </c>
      <c r="Z174" s="1">
        <v>45966</v>
      </c>
      <c r="AA174" s="1">
        <v>45966</v>
      </c>
      <c r="AB174" s="1">
        <v>45966</v>
      </c>
      <c r="AC174" s="1">
        <v>45966</v>
      </c>
      <c r="AD174" s="1">
        <v>45966</v>
      </c>
      <c r="AE174" s="1">
        <v>45966</v>
      </c>
      <c r="AF174" s="1">
        <v>45966</v>
      </c>
      <c r="AG174" s="1"/>
      <c r="AH174" s="1"/>
      <c r="AI174" s="1"/>
      <c r="AJ174" s="1"/>
      <c r="AK174" s="1"/>
      <c r="AL174" s="1"/>
      <c r="AM174" s="9" t="s">
        <v>619</v>
      </c>
      <c r="AN174" s="2">
        <f>+Pedidos_Pistachos[[#This Row],[CantidadPedida]]</f>
        <v>210</v>
      </c>
      <c r="AO174" s="2">
        <f>+Pedidos_Pistachos[[#This Row],[Cajas]]*2</f>
        <v>420</v>
      </c>
    </row>
    <row r="175" spans="1:41" x14ac:dyDescent="0.25">
      <c r="A175">
        <v>80410</v>
      </c>
      <c r="B175">
        <v>1</v>
      </c>
      <c r="C175" s="9" t="s">
        <v>40</v>
      </c>
      <c r="D175" s="9" t="s">
        <v>754</v>
      </c>
      <c r="E175" s="9" t="s">
        <v>602</v>
      </c>
      <c r="F175" s="9" t="s">
        <v>603</v>
      </c>
      <c r="G175" s="9" t="s">
        <v>46</v>
      </c>
      <c r="H175" s="9" t="s">
        <v>47</v>
      </c>
      <c r="I175" s="6">
        <v>70</v>
      </c>
      <c r="J175" s="8">
        <v>33</v>
      </c>
      <c r="K175" s="6">
        <v>70</v>
      </c>
      <c r="L175" s="6">
        <v>70</v>
      </c>
      <c r="M175" s="6">
        <v>700</v>
      </c>
      <c r="N175" s="9" t="s">
        <v>42</v>
      </c>
      <c r="O175" s="9" t="s">
        <v>48</v>
      </c>
      <c r="P175" s="9" t="s">
        <v>41</v>
      </c>
      <c r="Q175" s="9" t="s">
        <v>755</v>
      </c>
      <c r="R175" s="9" t="s">
        <v>756</v>
      </c>
      <c r="S175" s="9" t="s">
        <v>757</v>
      </c>
      <c r="T175" s="9" t="s">
        <v>758</v>
      </c>
      <c r="U175" s="9" t="s">
        <v>39</v>
      </c>
      <c r="V175">
        <v>147293</v>
      </c>
      <c r="W175" s="1">
        <v>45966</v>
      </c>
      <c r="X175" s="9" t="s">
        <v>53</v>
      </c>
      <c r="Y175">
        <v>170184</v>
      </c>
      <c r="Z175" s="1">
        <v>45966</v>
      </c>
      <c r="AA175" s="1">
        <v>45966</v>
      </c>
      <c r="AB175" s="1">
        <v>45966</v>
      </c>
      <c r="AC175" s="1">
        <v>45966</v>
      </c>
      <c r="AD175" s="1">
        <v>45966</v>
      </c>
      <c r="AE175" s="1">
        <v>45966</v>
      </c>
      <c r="AF175" s="1">
        <v>45966</v>
      </c>
      <c r="AG175" s="1"/>
      <c r="AH175" s="1"/>
      <c r="AI175" s="1"/>
      <c r="AJ175" s="1"/>
      <c r="AK175" s="1"/>
      <c r="AL175" s="1"/>
      <c r="AM175" s="9" t="s">
        <v>619</v>
      </c>
      <c r="AN175" s="2">
        <f>+Pedidos_Pistachos[[#This Row],[CantidadPedida]]</f>
        <v>70</v>
      </c>
      <c r="AO175" s="2">
        <f>+Pedidos_Pistachos[[#This Row],[Cajas]]*2</f>
        <v>140</v>
      </c>
    </row>
    <row r="176" spans="1:41" x14ac:dyDescent="0.25">
      <c r="A176">
        <v>79757</v>
      </c>
      <c r="B176">
        <v>1</v>
      </c>
      <c r="C176" s="9" t="s">
        <v>40</v>
      </c>
      <c r="D176" s="9" t="s">
        <v>167</v>
      </c>
      <c r="E176" s="9" t="s">
        <v>605</v>
      </c>
      <c r="F176" s="9" t="s">
        <v>606</v>
      </c>
      <c r="G176" s="9" t="s">
        <v>46</v>
      </c>
      <c r="H176" s="9" t="s">
        <v>47</v>
      </c>
      <c r="I176" s="6">
        <v>140</v>
      </c>
      <c r="J176" s="8">
        <v>37</v>
      </c>
      <c r="K176" s="6">
        <v>140</v>
      </c>
      <c r="L176" s="6">
        <v>140</v>
      </c>
      <c r="M176" s="6">
        <v>1400</v>
      </c>
      <c r="N176" s="9" t="s">
        <v>42</v>
      </c>
      <c r="O176" s="9" t="s">
        <v>48</v>
      </c>
      <c r="P176" s="9" t="s">
        <v>41</v>
      </c>
      <c r="Q176" s="9" t="s">
        <v>773</v>
      </c>
      <c r="R176" s="9" t="s">
        <v>774</v>
      </c>
      <c r="S176" s="9" t="s">
        <v>775</v>
      </c>
      <c r="T176" s="9" t="s">
        <v>776</v>
      </c>
      <c r="U176" s="9" t="s">
        <v>39</v>
      </c>
      <c r="V176">
        <v>147375</v>
      </c>
      <c r="W176" s="1">
        <v>45966</v>
      </c>
      <c r="X176" s="9" t="s">
        <v>53</v>
      </c>
      <c r="Y176">
        <v>166054</v>
      </c>
      <c r="Z176" s="1">
        <v>45947</v>
      </c>
      <c r="AA176" s="1">
        <v>45966</v>
      </c>
      <c r="AB176" s="1">
        <v>45966</v>
      </c>
      <c r="AC176" s="1">
        <v>45966</v>
      </c>
      <c r="AD176" s="1">
        <v>45966</v>
      </c>
      <c r="AE176" s="1">
        <v>45966</v>
      </c>
      <c r="AF176" s="1">
        <v>45966</v>
      </c>
      <c r="AG176" s="1"/>
      <c r="AH176" s="1"/>
      <c r="AI176" s="1"/>
      <c r="AJ176" s="1"/>
      <c r="AK176" s="1"/>
      <c r="AL176" s="1"/>
      <c r="AM176" s="9" t="s">
        <v>619</v>
      </c>
      <c r="AN176" s="2">
        <f>+Pedidos_Pistachos[[#This Row],[CantidadPedida]]</f>
        <v>140</v>
      </c>
      <c r="AO176" s="2">
        <f>+Pedidos_Pistachos[[#This Row],[Cajas]]*2</f>
        <v>280</v>
      </c>
    </row>
    <row r="177" spans="1:41" x14ac:dyDescent="0.25">
      <c r="A177">
        <v>78574</v>
      </c>
      <c r="B177">
        <v>6</v>
      </c>
      <c r="C177" s="9" t="s">
        <v>40</v>
      </c>
      <c r="D177" s="9" t="s">
        <v>167</v>
      </c>
      <c r="E177" s="9" t="s">
        <v>602</v>
      </c>
      <c r="F177" s="9" t="s">
        <v>603</v>
      </c>
      <c r="G177" s="9" t="s">
        <v>46</v>
      </c>
      <c r="H177" s="9" t="s">
        <v>47</v>
      </c>
      <c r="I177" s="6">
        <v>70</v>
      </c>
      <c r="J177" s="8">
        <v>34.78</v>
      </c>
      <c r="K177" s="6">
        <v>70</v>
      </c>
      <c r="L177" s="6">
        <v>70</v>
      </c>
      <c r="M177" s="6">
        <v>700</v>
      </c>
      <c r="N177" s="9" t="s">
        <v>42</v>
      </c>
      <c r="O177" s="9" t="s">
        <v>48</v>
      </c>
      <c r="P177" s="9" t="s">
        <v>41</v>
      </c>
      <c r="Q177" s="9" t="s">
        <v>773</v>
      </c>
      <c r="R177" s="9" t="s">
        <v>777</v>
      </c>
      <c r="S177" s="9" t="s">
        <v>775</v>
      </c>
      <c r="T177" s="9" t="s">
        <v>776</v>
      </c>
      <c r="U177" s="9" t="s">
        <v>39</v>
      </c>
      <c r="V177">
        <v>147376</v>
      </c>
      <c r="W177" s="1">
        <v>45966</v>
      </c>
      <c r="X177" s="9" t="s">
        <v>53</v>
      </c>
      <c r="Y177">
        <v>164423</v>
      </c>
      <c r="Z177" s="1">
        <v>45933</v>
      </c>
      <c r="AA177" s="1">
        <v>45966</v>
      </c>
      <c r="AB177" s="1">
        <v>45966</v>
      </c>
      <c r="AC177" s="1">
        <v>45966</v>
      </c>
      <c r="AD177" s="1">
        <v>45966</v>
      </c>
      <c r="AE177" s="1">
        <v>45966</v>
      </c>
      <c r="AF177" s="1">
        <v>45966</v>
      </c>
      <c r="AG177" s="1"/>
      <c r="AH177" s="1"/>
      <c r="AI177" s="1"/>
      <c r="AJ177" s="1"/>
      <c r="AK177" s="1"/>
      <c r="AL177" s="1"/>
      <c r="AM177" s="9" t="s">
        <v>619</v>
      </c>
      <c r="AN177" s="2">
        <f>+Pedidos_Pistachos[[#This Row],[CantidadPedida]]</f>
        <v>70</v>
      </c>
      <c r="AO177" s="2">
        <f>+Pedidos_Pistachos[[#This Row],[Cajas]]*2</f>
        <v>140</v>
      </c>
    </row>
    <row r="178" spans="1:41" x14ac:dyDescent="0.25">
      <c r="A178">
        <v>78049</v>
      </c>
      <c r="B178">
        <v>2</v>
      </c>
      <c r="C178" s="9" t="s">
        <v>40</v>
      </c>
      <c r="D178" s="9" t="s">
        <v>407</v>
      </c>
      <c r="E178" s="9" t="s">
        <v>602</v>
      </c>
      <c r="F178" s="9" t="s">
        <v>603</v>
      </c>
      <c r="G178" s="9" t="s">
        <v>46</v>
      </c>
      <c r="H178" s="9" t="s">
        <v>47</v>
      </c>
      <c r="I178" s="6">
        <v>140</v>
      </c>
      <c r="J178" s="8">
        <v>33</v>
      </c>
      <c r="K178" s="6">
        <v>140</v>
      </c>
      <c r="L178" s="6">
        <v>140</v>
      </c>
      <c r="M178" s="6">
        <v>1400</v>
      </c>
      <c r="N178" s="9" t="s">
        <v>42</v>
      </c>
      <c r="O178" s="9" t="s">
        <v>48</v>
      </c>
      <c r="P178" s="9" t="s">
        <v>41</v>
      </c>
      <c r="Q178" s="9" t="s">
        <v>782</v>
      </c>
      <c r="R178" s="9" t="s">
        <v>783</v>
      </c>
      <c r="S178" s="9" t="s">
        <v>784</v>
      </c>
      <c r="T178" s="9" t="s">
        <v>785</v>
      </c>
      <c r="U178" s="9" t="s">
        <v>39</v>
      </c>
      <c r="V178">
        <v>147396</v>
      </c>
      <c r="W178" s="1">
        <v>45966</v>
      </c>
      <c r="X178" s="9" t="s">
        <v>53</v>
      </c>
      <c r="Y178">
        <v>163437</v>
      </c>
      <c r="Z178" s="1">
        <v>45929</v>
      </c>
      <c r="AA178" s="1">
        <v>45966</v>
      </c>
      <c r="AB178" s="1">
        <v>45966</v>
      </c>
      <c r="AC178" s="1">
        <v>45966</v>
      </c>
      <c r="AD178" s="1">
        <v>45966</v>
      </c>
      <c r="AE178" s="1">
        <v>45966</v>
      </c>
      <c r="AF178" s="1">
        <v>45966</v>
      </c>
      <c r="AG178" s="1"/>
      <c r="AH178" s="1"/>
      <c r="AI178" s="1"/>
      <c r="AJ178" s="1"/>
      <c r="AK178" s="1"/>
      <c r="AL178" s="1"/>
      <c r="AM178" s="9" t="s">
        <v>619</v>
      </c>
      <c r="AN178" s="2">
        <f>+Pedidos_Pistachos[[#This Row],[CantidadPedida]]</f>
        <v>140</v>
      </c>
      <c r="AO178" s="2">
        <f>+Pedidos_Pistachos[[#This Row],[Cajas]]*2</f>
        <v>280</v>
      </c>
    </row>
    <row r="179" spans="1:41" x14ac:dyDescent="0.25">
      <c r="A179">
        <v>77734</v>
      </c>
      <c r="B179">
        <v>9</v>
      </c>
      <c r="C179" s="9" t="s">
        <v>40</v>
      </c>
      <c r="D179" s="9" t="s">
        <v>407</v>
      </c>
      <c r="E179" s="9" t="s">
        <v>602</v>
      </c>
      <c r="F179" s="9" t="s">
        <v>603</v>
      </c>
      <c r="G179" s="9" t="s">
        <v>46</v>
      </c>
      <c r="H179" s="9" t="s">
        <v>47</v>
      </c>
      <c r="I179" s="6">
        <v>70</v>
      </c>
      <c r="J179" s="8">
        <v>33</v>
      </c>
      <c r="K179" s="6">
        <v>70</v>
      </c>
      <c r="L179" s="6">
        <v>70</v>
      </c>
      <c r="M179" s="6">
        <v>700</v>
      </c>
      <c r="N179" s="9" t="s">
        <v>42</v>
      </c>
      <c r="O179" s="9" t="s">
        <v>48</v>
      </c>
      <c r="P179" s="9" t="s">
        <v>41</v>
      </c>
      <c r="Q179" s="9" t="s">
        <v>782</v>
      </c>
      <c r="R179" s="9" t="s">
        <v>786</v>
      </c>
      <c r="S179" s="9" t="s">
        <v>784</v>
      </c>
      <c r="T179" s="9" t="s">
        <v>785</v>
      </c>
      <c r="U179" s="9" t="s">
        <v>39</v>
      </c>
      <c r="V179">
        <v>147397</v>
      </c>
      <c r="W179" s="1">
        <v>45966</v>
      </c>
      <c r="X179" s="9" t="s">
        <v>53</v>
      </c>
      <c r="Y179">
        <v>163439</v>
      </c>
      <c r="Z179" s="1">
        <v>45929</v>
      </c>
      <c r="AA179" s="1">
        <v>45966</v>
      </c>
      <c r="AB179" s="1">
        <v>45966</v>
      </c>
      <c r="AC179" s="1">
        <v>45966</v>
      </c>
      <c r="AD179" s="1">
        <v>45966</v>
      </c>
      <c r="AE179" s="1">
        <v>45966</v>
      </c>
      <c r="AF179" s="1">
        <v>45966</v>
      </c>
      <c r="AG179" s="1"/>
      <c r="AH179" s="1"/>
      <c r="AI179" s="1"/>
      <c r="AJ179" s="1"/>
      <c r="AK179" s="1"/>
      <c r="AL179" s="1"/>
      <c r="AM179" s="9" t="s">
        <v>619</v>
      </c>
      <c r="AN179" s="2">
        <f>+Pedidos_Pistachos[[#This Row],[CantidadPedida]]</f>
        <v>70</v>
      </c>
      <c r="AO179" s="2">
        <f>+Pedidos_Pistachos[[#This Row],[Cajas]]*2</f>
        <v>140</v>
      </c>
    </row>
    <row r="180" spans="1:41" x14ac:dyDescent="0.25">
      <c r="A180">
        <v>77734</v>
      </c>
      <c r="B180">
        <v>8</v>
      </c>
      <c r="C180" s="9" t="s">
        <v>40</v>
      </c>
      <c r="D180" s="9" t="s">
        <v>407</v>
      </c>
      <c r="E180" s="9" t="s">
        <v>602</v>
      </c>
      <c r="F180" s="9" t="s">
        <v>603</v>
      </c>
      <c r="G180" s="9" t="s">
        <v>46</v>
      </c>
      <c r="H180" s="9" t="s">
        <v>47</v>
      </c>
      <c r="I180" s="6">
        <v>70</v>
      </c>
      <c r="J180" s="8">
        <v>33</v>
      </c>
      <c r="K180" s="6">
        <v>70</v>
      </c>
      <c r="L180" s="6">
        <v>70</v>
      </c>
      <c r="M180" s="6">
        <v>700</v>
      </c>
      <c r="N180" s="9" t="s">
        <v>42</v>
      </c>
      <c r="O180" s="9" t="s">
        <v>48</v>
      </c>
      <c r="P180" s="9" t="s">
        <v>41</v>
      </c>
      <c r="Q180" s="9" t="s">
        <v>782</v>
      </c>
      <c r="R180" s="9" t="s">
        <v>787</v>
      </c>
      <c r="S180" s="9" t="s">
        <v>784</v>
      </c>
      <c r="T180" s="9" t="s">
        <v>785</v>
      </c>
      <c r="U180" s="9" t="s">
        <v>39</v>
      </c>
      <c r="V180">
        <v>147398</v>
      </c>
      <c r="W180" s="1">
        <v>45966</v>
      </c>
      <c r="X180" s="9" t="s">
        <v>53</v>
      </c>
      <c r="Y180">
        <v>163438</v>
      </c>
      <c r="Z180" s="1">
        <v>45929</v>
      </c>
      <c r="AA180" s="1">
        <v>45966</v>
      </c>
      <c r="AB180" s="1">
        <v>45966</v>
      </c>
      <c r="AC180" s="1">
        <v>45966</v>
      </c>
      <c r="AD180" s="1">
        <v>45966</v>
      </c>
      <c r="AE180" s="1">
        <v>45966</v>
      </c>
      <c r="AF180" s="1">
        <v>45966</v>
      </c>
      <c r="AG180" s="1"/>
      <c r="AH180" s="1"/>
      <c r="AI180" s="1"/>
      <c r="AJ180" s="1"/>
      <c r="AK180" s="1"/>
      <c r="AL180" s="1"/>
      <c r="AM180" s="9" t="s">
        <v>619</v>
      </c>
      <c r="AN180" s="2">
        <f>+Pedidos_Pistachos[[#This Row],[CantidadPedida]]</f>
        <v>70</v>
      </c>
      <c r="AO180" s="2">
        <f>+Pedidos_Pistachos[[#This Row],[Cajas]]*2</f>
        <v>140</v>
      </c>
    </row>
    <row r="181" spans="1:41" x14ac:dyDescent="0.25">
      <c r="A181">
        <v>77734</v>
      </c>
      <c r="B181">
        <v>7</v>
      </c>
      <c r="C181" s="9" t="s">
        <v>40</v>
      </c>
      <c r="D181" s="9" t="s">
        <v>407</v>
      </c>
      <c r="E181" s="9" t="s">
        <v>602</v>
      </c>
      <c r="F181" s="9" t="s">
        <v>603</v>
      </c>
      <c r="G181" s="9" t="s">
        <v>46</v>
      </c>
      <c r="H181" s="9" t="s">
        <v>47</v>
      </c>
      <c r="I181" s="6">
        <v>70</v>
      </c>
      <c r="J181" s="8">
        <v>33</v>
      </c>
      <c r="K181" s="6">
        <v>70</v>
      </c>
      <c r="L181" s="6">
        <v>70</v>
      </c>
      <c r="M181" s="6">
        <v>700</v>
      </c>
      <c r="N181" s="9" t="s">
        <v>42</v>
      </c>
      <c r="O181" s="9" t="s">
        <v>48</v>
      </c>
      <c r="P181" s="9" t="s">
        <v>41</v>
      </c>
      <c r="Q181" s="9" t="s">
        <v>782</v>
      </c>
      <c r="R181" s="9" t="s">
        <v>788</v>
      </c>
      <c r="S181" s="9" t="s">
        <v>784</v>
      </c>
      <c r="T181" s="9" t="s">
        <v>785</v>
      </c>
      <c r="U181" s="9" t="s">
        <v>39</v>
      </c>
      <c r="V181">
        <v>147399</v>
      </c>
      <c r="W181" s="1">
        <v>45966</v>
      </c>
      <c r="X181" s="9" t="s">
        <v>53</v>
      </c>
      <c r="Y181">
        <v>158991</v>
      </c>
      <c r="Z181" s="1">
        <v>45903</v>
      </c>
      <c r="AA181" s="1">
        <v>45966</v>
      </c>
      <c r="AB181" s="1">
        <v>45966</v>
      </c>
      <c r="AC181" s="1">
        <v>45966</v>
      </c>
      <c r="AD181" s="1">
        <v>45966</v>
      </c>
      <c r="AE181" s="1">
        <v>45966</v>
      </c>
      <c r="AF181" s="1">
        <v>45966</v>
      </c>
      <c r="AG181" s="1"/>
      <c r="AH181" s="1"/>
      <c r="AI181" s="1"/>
      <c r="AJ181" s="1"/>
      <c r="AK181" s="1"/>
      <c r="AL181" s="1"/>
      <c r="AM181" s="9" t="s">
        <v>619</v>
      </c>
      <c r="AN181" s="2">
        <f>+Pedidos_Pistachos[[#This Row],[CantidadPedida]]</f>
        <v>70</v>
      </c>
      <c r="AO181" s="2">
        <f>+Pedidos_Pistachos[[#This Row],[Cajas]]*2</f>
        <v>140</v>
      </c>
    </row>
    <row r="182" spans="1:41" x14ac:dyDescent="0.25">
      <c r="A182">
        <v>80468</v>
      </c>
      <c r="B182">
        <v>1</v>
      </c>
      <c r="C182" s="9" t="s">
        <v>38</v>
      </c>
      <c r="D182" s="9" t="s">
        <v>513</v>
      </c>
      <c r="E182" s="9" t="s">
        <v>594</v>
      </c>
      <c r="F182" s="9" t="s">
        <v>595</v>
      </c>
      <c r="G182" s="9" t="s">
        <v>46</v>
      </c>
      <c r="H182" s="9" t="s">
        <v>47</v>
      </c>
      <c r="I182" s="6">
        <v>10</v>
      </c>
      <c r="J182" s="8">
        <v>1</v>
      </c>
      <c r="K182" s="6">
        <v>10</v>
      </c>
      <c r="L182" s="6">
        <v>10</v>
      </c>
      <c r="M182" s="6">
        <v>100</v>
      </c>
      <c r="N182" s="9" t="s">
        <v>42</v>
      </c>
      <c r="O182" s="9" t="s">
        <v>48</v>
      </c>
      <c r="P182" s="9" t="s">
        <v>41</v>
      </c>
      <c r="Q182" s="9" t="s">
        <v>778</v>
      </c>
      <c r="R182" s="9" t="s">
        <v>779</v>
      </c>
      <c r="S182" s="9" t="s">
        <v>780</v>
      </c>
      <c r="T182" s="9" t="s">
        <v>781</v>
      </c>
      <c r="U182" s="9" t="s">
        <v>39</v>
      </c>
      <c r="V182">
        <v>147528</v>
      </c>
      <c r="W182" s="1">
        <v>45967</v>
      </c>
      <c r="X182" s="9" t="s">
        <v>53</v>
      </c>
      <c r="Y182">
        <v>170420</v>
      </c>
      <c r="Z182" s="1">
        <v>45967</v>
      </c>
      <c r="AA182" s="1">
        <v>45967</v>
      </c>
      <c r="AB182" s="1">
        <v>45967</v>
      </c>
      <c r="AC182" s="1">
        <v>45967</v>
      </c>
      <c r="AD182" s="1">
        <v>45967</v>
      </c>
      <c r="AE182" s="1">
        <v>45967</v>
      </c>
      <c r="AF182" s="1">
        <v>45967</v>
      </c>
      <c r="AG182" s="1"/>
      <c r="AH182" s="1"/>
      <c r="AI182" s="1"/>
      <c r="AJ182" s="1"/>
      <c r="AK182" s="1"/>
      <c r="AL182" s="1"/>
      <c r="AM182" s="9" t="s">
        <v>619</v>
      </c>
      <c r="AN182" s="2">
        <f>+Pedidos_Pistachos[[#This Row],[CantidadPedida]]</f>
        <v>10</v>
      </c>
      <c r="AO182" s="2">
        <f>+Pedidos_Pistachos[[#This Row],[Cajas]]*2</f>
        <v>20</v>
      </c>
    </row>
    <row r="183" spans="1:41" x14ac:dyDescent="0.25">
      <c r="A183">
        <v>80593</v>
      </c>
      <c r="B183">
        <v>1</v>
      </c>
      <c r="C183" s="9" t="s">
        <v>40</v>
      </c>
      <c r="D183" s="9" t="s">
        <v>167</v>
      </c>
      <c r="E183" s="9" t="s">
        <v>624</v>
      </c>
      <c r="F183" s="9" t="s">
        <v>620</v>
      </c>
      <c r="G183" s="9" t="s">
        <v>46</v>
      </c>
      <c r="H183" s="9" t="s">
        <v>47</v>
      </c>
      <c r="I183" s="6">
        <v>525</v>
      </c>
      <c r="J183" s="8">
        <v>38</v>
      </c>
      <c r="K183" s="6">
        <v>525</v>
      </c>
      <c r="L183" s="6">
        <v>525</v>
      </c>
      <c r="M183" s="6">
        <v>5250</v>
      </c>
      <c r="N183" s="9" t="s">
        <v>42</v>
      </c>
      <c r="O183" s="9" t="s">
        <v>48</v>
      </c>
      <c r="P183" s="9" t="s">
        <v>41</v>
      </c>
      <c r="Q183" s="9" t="s">
        <v>840</v>
      </c>
      <c r="R183" s="9" t="s">
        <v>841</v>
      </c>
      <c r="S183" s="9" t="s">
        <v>842</v>
      </c>
      <c r="T183" s="9" t="s">
        <v>843</v>
      </c>
      <c r="U183" s="9" t="s">
        <v>39</v>
      </c>
      <c r="V183">
        <v>148234</v>
      </c>
      <c r="W183" s="1">
        <v>45972</v>
      </c>
      <c r="X183" s="9" t="s">
        <v>53</v>
      </c>
      <c r="Y183">
        <v>171258</v>
      </c>
      <c r="Z183" s="1">
        <v>45972</v>
      </c>
      <c r="AA183" s="1">
        <v>45972</v>
      </c>
      <c r="AB183" s="1">
        <v>45972</v>
      </c>
      <c r="AC183" s="1">
        <v>45972</v>
      </c>
      <c r="AD183" s="1">
        <v>45972</v>
      </c>
      <c r="AE183" s="1">
        <v>45972</v>
      </c>
      <c r="AF183" s="1">
        <v>45972</v>
      </c>
      <c r="AG183" s="1"/>
      <c r="AH183" s="1"/>
      <c r="AI183" s="1"/>
      <c r="AJ183" s="1"/>
      <c r="AK183" s="1"/>
      <c r="AL183" s="1"/>
      <c r="AM183" s="9" t="s">
        <v>619</v>
      </c>
      <c r="AN183" s="2">
        <f>+Pedidos_Pistachos[[#This Row],[CantidadPedida]]</f>
        <v>525</v>
      </c>
      <c r="AO183" s="2">
        <f>+Pedidos_Pistachos[[#This Row],[Cajas]]*2</f>
        <v>1050</v>
      </c>
    </row>
    <row r="184" spans="1:41" x14ac:dyDescent="0.25">
      <c r="A184">
        <v>80689</v>
      </c>
      <c r="B184">
        <v>1</v>
      </c>
      <c r="C184" s="9" t="s">
        <v>40</v>
      </c>
      <c r="D184" s="9" t="s">
        <v>167</v>
      </c>
      <c r="E184" s="9" t="s">
        <v>44</v>
      </c>
      <c r="F184" s="9" t="s">
        <v>45</v>
      </c>
      <c r="G184" s="9" t="s">
        <v>46</v>
      </c>
      <c r="H184" s="9" t="s">
        <v>47</v>
      </c>
      <c r="I184" s="6">
        <v>140</v>
      </c>
      <c r="J184" s="8">
        <v>40</v>
      </c>
      <c r="K184" s="6">
        <v>140</v>
      </c>
      <c r="L184" s="6">
        <v>140</v>
      </c>
      <c r="M184" s="6">
        <v>1400</v>
      </c>
      <c r="N184" s="9" t="s">
        <v>42</v>
      </c>
      <c r="O184" s="9" t="s">
        <v>48</v>
      </c>
      <c r="P184" s="9" t="s">
        <v>41</v>
      </c>
      <c r="Q184" s="9" t="s">
        <v>836</v>
      </c>
      <c r="R184" s="9" t="s">
        <v>837</v>
      </c>
      <c r="S184" s="9" t="s">
        <v>838</v>
      </c>
      <c r="T184" s="9" t="s">
        <v>839</v>
      </c>
      <c r="U184" s="9" t="s">
        <v>39</v>
      </c>
      <c r="V184">
        <v>148615</v>
      </c>
      <c r="W184" s="1">
        <v>45974</v>
      </c>
      <c r="X184" s="9" t="s">
        <v>53</v>
      </c>
      <c r="Y184">
        <v>171877</v>
      </c>
      <c r="Z184" s="1">
        <v>45974</v>
      </c>
      <c r="AA184" s="1">
        <v>45974</v>
      </c>
      <c r="AB184" s="1">
        <v>45974</v>
      </c>
      <c r="AC184" s="1">
        <v>45974</v>
      </c>
      <c r="AD184" s="1">
        <v>45974</v>
      </c>
      <c r="AE184" s="1">
        <v>45974</v>
      </c>
      <c r="AF184" s="1">
        <v>45974</v>
      </c>
      <c r="AG184" s="1"/>
      <c r="AH184" s="1"/>
      <c r="AI184" s="1"/>
      <c r="AJ184" s="1"/>
      <c r="AK184" s="1"/>
      <c r="AL184" s="1"/>
      <c r="AM184" s="9" t="s">
        <v>619</v>
      </c>
      <c r="AN184" s="2">
        <f>+Pedidos_Pistachos[[#This Row],[CantidadPedida]]</f>
        <v>140</v>
      </c>
      <c r="AO184" s="2">
        <f>+Pedidos_Pistachos[[#This Row],[Cajas]]*2</f>
        <v>280</v>
      </c>
    </row>
    <row r="185" spans="1:41" x14ac:dyDescent="0.25">
      <c r="A185">
        <v>80788</v>
      </c>
      <c r="B185">
        <v>1</v>
      </c>
      <c r="C185" s="9" t="s">
        <v>40</v>
      </c>
      <c r="D185" s="9" t="s">
        <v>167</v>
      </c>
      <c r="E185" s="9" t="s">
        <v>44</v>
      </c>
      <c r="F185" s="9" t="s">
        <v>45</v>
      </c>
      <c r="G185" s="9" t="s">
        <v>46</v>
      </c>
      <c r="H185" s="9" t="s">
        <v>47</v>
      </c>
      <c r="I185" s="6">
        <v>140</v>
      </c>
      <c r="J185" s="8">
        <v>40</v>
      </c>
      <c r="K185" s="6">
        <v>140</v>
      </c>
      <c r="L185" s="6">
        <v>140</v>
      </c>
      <c r="M185" s="6">
        <v>1400</v>
      </c>
      <c r="N185" s="9" t="s">
        <v>42</v>
      </c>
      <c r="O185" s="9" t="s">
        <v>48</v>
      </c>
      <c r="P185" s="9" t="s">
        <v>41</v>
      </c>
      <c r="Q185" s="9" t="s">
        <v>717</v>
      </c>
      <c r="R185" s="9" t="s">
        <v>833</v>
      </c>
      <c r="S185" s="9" t="s">
        <v>834</v>
      </c>
      <c r="T185" s="9" t="s">
        <v>835</v>
      </c>
      <c r="U185" s="9" t="s">
        <v>39</v>
      </c>
      <c r="V185">
        <v>149066</v>
      </c>
      <c r="W185" s="1">
        <v>45978</v>
      </c>
      <c r="X185" s="9" t="s">
        <v>53</v>
      </c>
      <c r="Y185">
        <v>172464</v>
      </c>
      <c r="Z185" s="1">
        <v>45978</v>
      </c>
      <c r="AA185" s="1">
        <v>45978</v>
      </c>
      <c r="AB185" s="1">
        <v>45978</v>
      </c>
      <c r="AC185" s="1">
        <v>45978</v>
      </c>
      <c r="AD185" s="1">
        <v>45978</v>
      </c>
      <c r="AE185" s="1">
        <v>45978</v>
      </c>
      <c r="AF185" s="1">
        <v>45978</v>
      </c>
      <c r="AG185" s="1"/>
      <c r="AH185" s="1"/>
      <c r="AI185" s="1"/>
      <c r="AJ185" s="1"/>
      <c r="AK185" s="1"/>
      <c r="AL185" s="1"/>
      <c r="AM185" s="9" t="s">
        <v>619</v>
      </c>
      <c r="AN185" s="2">
        <f>+Pedidos_Pistachos[[#This Row],[CantidadPedida]]</f>
        <v>140</v>
      </c>
      <c r="AO185" s="2">
        <f>+Pedidos_Pistachos[[#This Row],[Cajas]]*2</f>
        <v>280</v>
      </c>
    </row>
    <row r="186" spans="1:41" x14ac:dyDescent="0.25">
      <c r="A186">
        <v>81168</v>
      </c>
      <c r="B186">
        <v>1</v>
      </c>
      <c r="C186" s="9" t="s">
        <v>40</v>
      </c>
      <c r="D186" s="9" t="s">
        <v>407</v>
      </c>
      <c r="E186" s="9" t="s">
        <v>602</v>
      </c>
      <c r="F186" s="9" t="s">
        <v>603</v>
      </c>
      <c r="G186" s="9" t="s">
        <v>46</v>
      </c>
      <c r="H186" s="9" t="s">
        <v>47</v>
      </c>
      <c r="I186" s="6">
        <v>490</v>
      </c>
      <c r="J186" s="8">
        <v>33</v>
      </c>
      <c r="K186" s="6">
        <v>490</v>
      </c>
      <c r="L186" s="6">
        <v>490</v>
      </c>
      <c r="M186" s="6">
        <v>4900</v>
      </c>
      <c r="N186" s="9" t="s">
        <v>42</v>
      </c>
      <c r="O186" s="9" t="s">
        <v>48</v>
      </c>
      <c r="P186" s="9" t="s">
        <v>41</v>
      </c>
      <c r="Q186" s="9" t="s">
        <v>829</v>
      </c>
      <c r="R186" s="9" t="s">
        <v>830</v>
      </c>
      <c r="S186" s="9" t="s">
        <v>831</v>
      </c>
      <c r="T186" s="9" t="s">
        <v>832</v>
      </c>
      <c r="U186" s="9" t="s">
        <v>39</v>
      </c>
      <c r="V186">
        <v>151067</v>
      </c>
      <c r="W186" s="1">
        <v>45992</v>
      </c>
      <c r="X186" s="9" t="s">
        <v>53</v>
      </c>
      <c r="Y186">
        <v>174567</v>
      </c>
      <c r="Z186" s="1">
        <v>45992</v>
      </c>
      <c r="AA186" s="1">
        <v>45992</v>
      </c>
      <c r="AB186" s="1">
        <v>45992</v>
      </c>
      <c r="AC186" s="1">
        <v>45992</v>
      </c>
      <c r="AD186" s="1">
        <v>45992</v>
      </c>
      <c r="AE186" s="1">
        <v>45992</v>
      </c>
      <c r="AF186" s="1">
        <v>45992</v>
      </c>
      <c r="AG186" s="1"/>
      <c r="AH186" s="1"/>
      <c r="AI186" s="1"/>
      <c r="AJ186" s="1"/>
      <c r="AK186" s="1"/>
      <c r="AL186" s="1"/>
      <c r="AM186" s="9" t="s">
        <v>619</v>
      </c>
      <c r="AN186" s="2">
        <f>+Pedidos_Pistachos[[#This Row],[CantidadPedida]]</f>
        <v>490</v>
      </c>
      <c r="AO186" s="2">
        <f>+Pedidos_Pistachos[[#This Row],[Cajas]]*2</f>
        <v>980</v>
      </c>
    </row>
    <row r="187" spans="1:41" x14ac:dyDescent="0.25">
      <c r="A187">
        <v>81213</v>
      </c>
      <c r="B187">
        <v>2</v>
      </c>
      <c r="C187" s="9" t="s">
        <v>40</v>
      </c>
      <c r="D187" s="9" t="s">
        <v>167</v>
      </c>
      <c r="E187" s="9" t="s">
        <v>44</v>
      </c>
      <c r="F187" s="9" t="s">
        <v>45</v>
      </c>
      <c r="G187" s="9" t="s">
        <v>46</v>
      </c>
      <c r="H187" s="9" t="s">
        <v>47</v>
      </c>
      <c r="I187" s="6">
        <v>70</v>
      </c>
      <c r="J187" s="8">
        <v>37</v>
      </c>
      <c r="K187" s="6">
        <v>70</v>
      </c>
      <c r="L187" s="6">
        <v>70</v>
      </c>
      <c r="M187" s="6">
        <v>700</v>
      </c>
      <c r="N187" s="9" t="s">
        <v>42</v>
      </c>
      <c r="O187" s="9" t="s">
        <v>48</v>
      </c>
      <c r="P187" s="9" t="s">
        <v>41</v>
      </c>
      <c r="Q187" s="9" t="s">
        <v>820</v>
      </c>
      <c r="R187" s="9" t="s">
        <v>824</v>
      </c>
      <c r="S187" s="9" t="s">
        <v>822</v>
      </c>
      <c r="T187" s="9" t="s">
        <v>823</v>
      </c>
      <c r="U187" s="9" t="s">
        <v>39</v>
      </c>
      <c r="V187">
        <v>151246</v>
      </c>
      <c r="W187" s="1">
        <v>45993</v>
      </c>
      <c r="X187" s="9" t="s">
        <v>53</v>
      </c>
      <c r="Y187">
        <v>174855</v>
      </c>
      <c r="Z187" s="1">
        <v>45993</v>
      </c>
      <c r="AA187" s="1">
        <v>45993</v>
      </c>
      <c r="AB187" s="1">
        <v>45993</v>
      </c>
      <c r="AC187" s="1">
        <v>45993</v>
      </c>
      <c r="AD187" s="1">
        <v>45993</v>
      </c>
      <c r="AE187" s="1">
        <v>45993</v>
      </c>
      <c r="AF187" s="1">
        <v>45993</v>
      </c>
      <c r="AG187" s="1"/>
      <c r="AH187" s="1"/>
      <c r="AI187" s="1"/>
      <c r="AJ187" s="1"/>
      <c r="AK187" s="1"/>
      <c r="AL187" s="1"/>
      <c r="AM187" s="9" t="s">
        <v>619</v>
      </c>
      <c r="AN187" s="2">
        <f>+Pedidos_Pistachos[[#This Row],[CantidadPedida]]</f>
        <v>70</v>
      </c>
      <c r="AO187" s="2">
        <f>+Pedidos_Pistachos[[#This Row],[Cajas]]*2</f>
        <v>140</v>
      </c>
    </row>
    <row r="188" spans="1:41" x14ac:dyDescent="0.25">
      <c r="A188">
        <v>81213</v>
      </c>
      <c r="B188">
        <v>1</v>
      </c>
      <c r="C188" s="9" t="s">
        <v>40</v>
      </c>
      <c r="D188" s="9" t="s">
        <v>167</v>
      </c>
      <c r="E188" s="9" t="s">
        <v>602</v>
      </c>
      <c r="F188" s="9" t="s">
        <v>603</v>
      </c>
      <c r="G188" s="9" t="s">
        <v>46</v>
      </c>
      <c r="H188" s="9" t="s">
        <v>47</v>
      </c>
      <c r="I188" s="6">
        <v>210</v>
      </c>
      <c r="J188" s="8">
        <v>35</v>
      </c>
      <c r="K188" s="6">
        <v>210</v>
      </c>
      <c r="L188" s="6">
        <v>210</v>
      </c>
      <c r="M188" s="6">
        <v>2100</v>
      </c>
      <c r="N188" s="9" t="s">
        <v>42</v>
      </c>
      <c r="O188" s="9" t="s">
        <v>48</v>
      </c>
      <c r="P188" s="9" t="s">
        <v>41</v>
      </c>
      <c r="Q188" s="9" t="s">
        <v>820</v>
      </c>
      <c r="R188" s="9" t="s">
        <v>821</v>
      </c>
      <c r="S188" s="9" t="s">
        <v>822</v>
      </c>
      <c r="T188" s="9" t="s">
        <v>823</v>
      </c>
      <c r="U188" s="9" t="s">
        <v>39</v>
      </c>
      <c r="V188">
        <v>151247</v>
      </c>
      <c r="W188" s="1">
        <v>45993</v>
      </c>
      <c r="X188" s="9" t="s">
        <v>53</v>
      </c>
      <c r="Y188">
        <v>174854</v>
      </c>
      <c r="Z188" s="1">
        <v>45993</v>
      </c>
      <c r="AA188" s="1">
        <v>45993</v>
      </c>
      <c r="AB188" s="1">
        <v>45993</v>
      </c>
      <c r="AC188" s="1">
        <v>45993</v>
      </c>
      <c r="AD188" s="1">
        <v>45993</v>
      </c>
      <c r="AE188" s="1">
        <v>45993</v>
      </c>
      <c r="AF188" s="1">
        <v>45993</v>
      </c>
      <c r="AG188" s="1"/>
      <c r="AH188" s="1"/>
      <c r="AI188" s="1"/>
      <c r="AJ188" s="1"/>
      <c r="AK188" s="1"/>
      <c r="AL188" s="1"/>
      <c r="AM188" s="9" t="s">
        <v>619</v>
      </c>
      <c r="AN188" s="2">
        <f>+Pedidos_Pistachos[[#This Row],[CantidadPedida]]</f>
        <v>210</v>
      </c>
      <c r="AO188" s="2">
        <f>+Pedidos_Pistachos[[#This Row],[Cajas]]*2</f>
        <v>420</v>
      </c>
    </row>
    <row r="189" spans="1:41" x14ac:dyDescent="0.25">
      <c r="A189">
        <v>81190</v>
      </c>
      <c r="B189">
        <v>1</v>
      </c>
      <c r="C189" s="9" t="s">
        <v>40</v>
      </c>
      <c r="D189" s="9" t="s">
        <v>643</v>
      </c>
      <c r="E189" s="9" t="s">
        <v>44</v>
      </c>
      <c r="F189" s="9" t="s">
        <v>45</v>
      </c>
      <c r="G189" s="9" t="s">
        <v>46</v>
      </c>
      <c r="H189" s="9" t="s">
        <v>47</v>
      </c>
      <c r="I189" s="6">
        <v>70</v>
      </c>
      <c r="J189" s="8">
        <v>40</v>
      </c>
      <c r="K189" s="6">
        <v>70</v>
      </c>
      <c r="L189" s="6">
        <v>70</v>
      </c>
      <c r="M189" s="6">
        <v>700</v>
      </c>
      <c r="N189" s="9" t="s">
        <v>42</v>
      </c>
      <c r="O189" s="9" t="s">
        <v>48</v>
      </c>
      <c r="P189" s="9" t="s">
        <v>41</v>
      </c>
      <c r="Q189" s="9" t="s">
        <v>825</v>
      </c>
      <c r="R189" s="9" t="s">
        <v>826</v>
      </c>
      <c r="S189" s="9" t="s">
        <v>827</v>
      </c>
      <c r="T189" s="9" t="s">
        <v>828</v>
      </c>
      <c r="U189" s="9" t="s">
        <v>39</v>
      </c>
      <c r="V189">
        <v>151248</v>
      </c>
      <c r="W189" s="1">
        <v>45993</v>
      </c>
      <c r="X189" s="9" t="s">
        <v>53</v>
      </c>
      <c r="Y189">
        <v>174740</v>
      </c>
      <c r="Z189" s="1">
        <v>45993</v>
      </c>
      <c r="AA189" s="1">
        <v>45993</v>
      </c>
      <c r="AB189" s="1">
        <v>45993</v>
      </c>
      <c r="AC189" s="1">
        <v>45993</v>
      </c>
      <c r="AD189" s="1">
        <v>45993</v>
      </c>
      <c r="AE189" s="1">
        <v>45993</v>
      </c>
      <c r="AF189" s="1">
        <v>45993</v>
      </c>
      <c r="AG189" s="1"/>
      <c r="AH189" s="1"/>
      <c r="AI189" s="1"/>
      <c r="AJ189" s="1"/>
      <c r="AK189" s="1"/>
      <c r="AL189" s="1"/>
      <c r="AM189" s="9" t="s">
        <v>619</v>
      </c>
      <c r="AN189" s="2">
        <f>+Pedidos_Pistachos[[#This Row],[CantidadPedida]]</f>
        <v>70</v>
      </c>
      <c r="AO189" s="2">
        <f>+Pedidos_Pistachos[[#This Row],[Cajas]]*2</f>
        <v>140</v>
      </c>
    </row>
    <row r="190" spans="1:41" x14ac:dyDescent="0.25">
      <c r="A190">
        <v>81321</v>
      </c>
      <c r="B190">
        <v>1</v>
      </c>
      <c r="C190" s="9" t="s">
        <v>38</v>
      </c>
      <c r="D190" s="9" t="s">
        <v>247</v>
      </c>
      <c r="E190" s="9" t="s">
        <v>594</v>
      </c>
      <c r="F190" s="9" t="s">
        <v>595</v>
      </c>
      <c r="G190" s="9" t="s">
        <v>46</v>
      </c>
      <c r="H190" s="9" t="s">
        <v>47</v>
      </c>
      <c r="I190" s="6">
        <v>70</v>
      </c>
      <c r="J190" s="8">
        <v>17.690000000000001</v>
      </c>
      <c r="K190" s="6">
        <v>70</v>
      </c>
      <c r="L190" s="6">
        <v>70</v>
      </c>
      <c r="M190" s="6">
        <v>700</v>
      </c>
      <c r="N190" s="9" t="s">
        <v>42</v>
      </c>
      <c r="O190" s="9" t="s">
        <v>48</v>
      </c>
      <c r="P190" s="9" t="s">
        <v>41</v>
      </c>
      <c r="Q190" s="9" t="s">
        <v>816</v>
      </c>
      <c r="R190" s="9" t="s">
        <v>817</v>
      </c>
      <c r="S190" s="9" t="s">
        <v>818</v>
      </c>
      <c r="T190" s="9" t="s">
        <v>819</v>
      </c>
      <c r="U190" s="9" t="s">
        <v>39</v>
      </c>
      <c r="V190">
        <v>151753</v>
      </c>
      <c r="W190" s="1">
        <v>46000</v>
      </c>
      <c r="X190" s="9" t="s">
        <v>53</v>
      </c>
      <c r="Y190">
        <v>175446</v>
      </c>
      <c r="Z190" s="1">
        <v>46000</v>
      </c>
      <c r="AA190" s="1">
        <v>46000</v>
      </c>
      <c r="AB190" s="1">
        <v>46000</v>
      </c>
      <c r="AC190" s="1">
        <v>46000</v>
      </c>
      <c r="AD190" s="1">
        <v>46000</v>
      </c>
      <c r="AE190" s="1">
        <v>46000</v>
      </c>
      <c r="AF190" s="1">
        <v>46000</v>
      </c>
      <c r="AG190" s="1"/>
      <c r="AH190" s="1"/>
      <c r="AI190" s="1"/>
      <c r="AJ190" s="1"/>
      <c r="AK190" s="1"/>
      <c r="AL190" s="1"/>
      <c r="AM190" s="9" t="s">
        <v>619</v>
      </c>
      <c r="AN190" s="2">
        <f>+Pedidos_Pistachos[[#This Row],[CantidadPedida]]</f>
        <v>70</v>
      </c>
      <c r="AO190" s="2">
        <f>+Pedidos_Pistachos[[#This Row],[Cajas]]*2</f>
        <v>140</v>
      </c>
    </row>
    <row r="191" spans="1:41" x14ac:dyDescent="0.25">
      <c r="A191">
        <v>81472</v>
      </c>
      <c r="B191">
        <v>1</v>
      </c>
      <c r="C191" s="9" t="s">
        <v>38</v>
      </c>
      <c r="D191" s="9" t="s">
        <v>811</v>
      </c>
      <c r="E191" s="9" t="s">
        <v>594</v>
      </c>
      <c r="F191" s="9" t="s">
        <v>595</v>
      </c>
      <c r="G191" s="9" t="s">
        <v>46</v>
      </c>
      <c r="H191" s="9" t="s">
        <v>47</v>
      </c>
      <c r="I191" s="6">
        <v>70</v>
      </c>
      <c r="J191" s="8">
        <v>16.72</v>
      </c>
      <c r="K191" s="6">
        <v>70</v>
      </c>
      <c r="L191" s="6">
        <v>70</v>
      </c>
      <c r="M191" s="6">
        <v>700</v>
      </c>
      <c r="N191" s="9" t="s">
        <v>42</v>
      </c>
      <c r="O191" s="9" t="s">
        <v>48</v>
      </c>
      <c r="P191" s="9" t="s">
        <v>41</v>
      </c>
      <c r="Q191" s="9" t="s">
        <v>812</v>
      </c>
      <c r="R191" s="9" t="s">
        <v>813</v>
      </c>
      <c r="S191" s="9" t="s">
        <v>814</v>
      </c>
      <c r="T191" s="9" t="s">
        <v>815</v>
      </c>
      <c r="U191" s="9" t="s">
        <v>39</v>
      </c>
      <c r="V191">
        <v>152760</v>
      </c>
      <c r="W191" s="1">
        <v>46006</v>
      </c>
      <c r="X191" s="9" t="s">
        <v>53</v>
      </c>
      <c r="Y191">
        <v>176489</v>
      </c>
      <c r="Z191" s="1">
        <v>46006</v>
      </c>
      <c r="AA191" s="1">
        <v>46006</v>
      </c>
      <c r="AB191" s="1">
        <v>46006</v>
      </c>
      <c r="AC191" s="1">
        <v>46006</v>
      </c>
      <c r="AD191" s="1">
        <v>46006</v>
      </c>
      <c r="AE191" s="1">
        <v>46006</v>
      </c>
      <c r="AF191" s="1">
        <v>46006</v>
      </c>
      <c r="AG191" s="1"/>
      <c r="AH191" s="1"/>
      <c r="AI191" s="1"/>
      <c r="AJ191" s="1"/>
      <c r="AK191" s="1"/>
      <c r="AL191" s="1"/>
      <c r="AM191" s="9" t="s">
        <v>619</v>
      </c>
      <c r="AN191" s="2">
        <f>+Pedidos_Pistachos[[#This Row],[CantidadPedida]]</f>
        <v>70</v>
      </c>
      <c r="AO191" s="2">
        <f>+Pedidos_Pistachos[[#This Row],[Cajas]]*2</f>
        <v>140</v>
      </c>
    </row>
    <row r="192" spans="1:41" x14ac:dyDescent="0.25">
      <c r="A192">
        <v>82118</v>
      </c>
      <c r="B192">
        <v>1</v>
      </c>
      <c r="C192" s="9" t="s">
        <v>38</v>
      </c>
      <c r="D192" s="9" t="s">
        <v>167</v>
      </c>
      <c r="E192" s="9" t="s">
        <v>602</v>
      </c>
      <c r="F192" s="9" t="s">
        <v>603</v>
      </c>
      <c r="G192" s="9" t="s">
        <v>46</v>
      </c>
      <c r="H192" s="9" t="s">
        <v>47</v>
      </c>
      <c r="I192" s="6">
        <v>457</v>
      </c>
      <c r="J192" s="8">
        <v>31</v>
      </c>
      <c r="K192" s="6">
        <v>457</v>
      </c>
      <c r="L192" s="6">
        <v>457</v>
      </c>
      <c r="M192" s="6">
        <v>4570</v>
      </c>
      <c r="N192" s="9" t="s">
        <v>42</v>
      </c>
      <c r="O192" s="9" t="s">
        <v>48</v>
      </c>
      <c r="P192" s="9" t="s">
        <v>41</v>
      </c>
      <c r="Q192" s="9" t="s">
        <v>807</v>
      </c>
      <c r="R192" s="9" t="s">
        <v>808</v>
      </c>
      <c r="S192" s="9" t="s">
        <v>809</v>
      </c>
      <c r="T192" s="9" t="s">
        <v>810</v>
      </c>
      <c r="U192" s="9" t="s">
        <v>39</v>
      </c>
      <c r="V192">
        <v>156027</v>
      </c>
      <c r="W192" s="1">
        <v>46036</v>
      </c>
      <c r="X192" s="9" t="s">
        <v>53</v>
      </c>
      <c r="Y192">
        <v>180341</v>
      </c>
      <c r="Z192" s="1">
        <v>46036</v>
      </c>
      <c r="AA192" s="1">
        <v>46036</v>
      </c>
      <c r="AB192" s="1">
        <v>46036</v>
      </c>
      <c r="AC192" s="1">
        <v>46036</v>
      </c>
      <c r="AD192" s="1">
        <v>46036</v>
      </c>
      <c r="AE192" s="1">
        <v>46036</v>
      </c>
      <c r="AF192" s="1">
        <v>46036</v>
      </c>
      <c r="AG192" s="1"/>
      <c r="AH192" s="1"/>
      <c r="AI192" s="1"/>
      <c r="AJ192" s="1"/>
      <c r="AK192" s="1"/>
      <c r="AL192" s="1"/>
      <c r="AM192" s="9" t="s">
        <v>619</v>
      </c>
      <c r="AN192" s="2">
        <f>+Pedidos_Pistachos[[#This Row],[CantidadPedida]]</f>
        <v>457</v>
      </c>
      <c r="AO192" s="2">
        <f>+Pedidos_Pistachos[[#This Row],[Cajas]]*2</f>
        <v>914</v>
      </c>
    </row>
    <row r="193" spans="1:41" x14ac:dyDescent="0.25">
      <c r="A193">
        <v>82375</v>
      </c>
      <c r="B193">
        <v>1</v>
      </c>
      <c r="C193" s="9" t="s">
        <v>38</v>
      </c>
      <c r="D193" s="9" t="s">
        <v>801</v>
      </c>
      <c r="E193" s="9" t="s">
        <v>594</v>
      </c>
      <c r="F193" s="9" t="s">
        <v>595</v>
      </c>
      <c r="G193" s="9" t="s">
        <v>46</v>
      </c>
      <c r="H193" s="9" t="s">
        <v>47</v>
      </c>
      <c r="I193" s="6">
        <v>6</v>
      </c>
      <c r="J193" s="8">
        <v>20.8</v>
      </c>
      <c r="K193" s="6">
        <v>6</v>
      </c>
      <c r="L193" s="6">
        <v>6</v>
      </c>
      <c r="M193" s="6">
        <v>360</v>
      </c>
      <c r="N193" s="9" t="s">
        <v>877</v>
      </c>
      <c r="O193" s="9" t="s">
        <v>48</v>
      </c>
      <c r="P193" s="9" t="s">
        <v>802</v>
      </c>
      <c r="Q193" s="9" t="s">
        <v>803</v>
      </c>
      <c r="R193" s="9" t="s">
        <v>804</v>
      </c>
      <c r="S193" s="9" t="s">
        <v>805</v>
      </c>
      <c r="T193" s="9" t="s">
        <v>806</v>
      </c>
      <c r="U193" s="9" t="s">
        <v>39</v>
      </c>
      <c r="V193">
        <v>157108</v>
      </c>
      <c r="W193" s="1">
        <v>46044</v>
      </c>
      <c r="X193" s="9" t="s">
        <v>53</v>
      </c>
      <c r="Y193">
        <v>181590</v>
      </c>
      <c r="Z193" s="1">
        <v>46044</v>
      </c>
      <c r="AA193" s="1">
        <v>46044</v>
      </c>
      <c r="AB193" s="1">
        <v>46044</v>
      </c>
      <c r="AC193" s="1">
        <v>46044</v>
      </c>
      <c r="AD193" s="1">
        <v>46044</v>
      </c>
      <c r="AE193" s="1">
        <v>46044</v>
      </c>
      <c r="AF193" s="1">
        <v>46044</v>
      </c>
      <c r="AG193" s="1">
        <v>46044</v>
      </c>
      <c r="AH193" s="1"/>
      <c r="AI193" s="1"/>
      <c r="AJ193" s="1"/>
      <c r="AK193" s="1"/>
      <c r="AL193" s="1"/>
      <c r="AM193" s="9" t="s">
        <v>619</v>
      </c>
      <c r="AN193" s="2">
        <f>+Pedidos_Pistachos[[#This Row],[CantidadPedida]]</f>
        <v>6</v>
      </c>
      <c r="AO193" s="2">
        <f>+Pedidos_Pistachos[[#This Row],[Cajas]]*2</f>
        <v>12</v>
      </c>
    </row>
    <row r="194" spans="1:41" x14ac:dyDescent="0.25">
      <c r="A194">
        <v>82616</v>
      </c>
      <c r="B194">
        <v>1</v>
      </c>
      <c r="C194" s="9" t="s">
        <v>38</v>
      </c>
      <c r="D194" s="9" t="s">
        <v>382</v>
      </c>
      <c r="E194" s="9" t="s">
        <v>594</v>
      </c>
      <c r="F194" s="9" t="s">
        <v>595</v>
      </c>
      <c r="G194" s="9" t="s">
        <v>46</v>
      </c>
      <c r="H194" s="9" t="s">
        <v>47</v>
      </c>
      <c r="I194" s="6">
        <v>50</v>
      </c>
      <c r="J194" s="8">
        <v>15.7</v>
      </c>
      <c r="K194" s="6">
        <v>50</v>
      </c>
      <c r="L194" s="6">
        <v>50</v>
      </c>
      <c r="M194" s="6">
        <v>500</v>
      </c>
      <c r="N194" s="9" t="s">
        <v>42</v>
      </c>
      <c r="O194" s="9" t="s">
        <v>48</v>
      </c>
      <c r="P194" s="9" t="s">
        <v>41</v>
      </c>
      <c r="Q194" s="9" t="s">
        <v>797</v>
      </c>
      <c r="R194" s="9" t="s">
        <v>798</v>
      </c>
      <c r="S194" s="9" t="s">
        <v>799</v>
      </c>
      <c r="T194" s="9" t="s">
        <v>800</v>
      </c>
      <c r="U194" s="9" t="s">
        <v>39</v>
      </c>
      <c r="V194">
        <v>158302</v>
      </c>
      <c r="W194" s="1">
        <v>46055</v>
      </c>
      <c r="X194" s="9" t="s">
        <v>53</v>
      </c>
      <c r="Y194">
        <v>183093</v>
      </c>
      <c r="Z194" s="1">
        <v>46055</v>
      </c>
      <c r="AA194" s="1">
        <v>46055</v>
      </c>
      <c r="AB194" s="1">
        <v>46055</v>
      </c>
      <c r="AC194" s="1">
        <v>46055</v>
      </c>
      <c r="AD194" s="1">
        <v>46055</v>
      </c>
      <c r="AE194" s="1">
        <v>46055</v>
      </c>
      <c r="AF194" s="1">
        <v>46055</v>
      </c>
      <c r="AG194" s="1"/>
      <c r="AH194" s="1"/>
      <c r="AI194" s="1"/>
      <c r="AJ194" s="1"/>
      <c r="AK194" s="1"/>
      <c r="AL194" s="1"/>
      <c r="AM194" s="9" t="s">
        <v>619</v>
      </c>
      <c r="AN194" s="2">
        <f>+Pedidos_Pistachos[[#This Row],[CantidadPedida]]</f>
        <v>50</v>
      </c>
      <c r="AO194" s="2">
        <f>+Pedidos_Pistachos[[#This Row],[Cajas]]*2</f>
        <v>100</v>
      </c>
    </row>
    <row r="195" spans="1:41" x14ac:dyDescent="0.25">
      <c r="A195">
        <v>82747</v>
      </c>
      <c r="B195">
        <v>1</v>
      </c>
      <c r="C195" s="9" t="s">
        <v>40</v>
      </c>
      <c r="D195" s="9" t="s">
        <v>513</v>
      </c>
      <c r="E195" s="9" t="s">
        <v>594</v>
      </c>
      <c r="F195" s="9" t="s">
        <v>595</v>
      </c>
      <c r="G195" s="9" t="s">
        <v>46</v>
      </c>
      <c r="H195" s="9" t="s">
        <v>47</v>
      </c>
      <c r="I195" s="6">
        <v>10</v>
      </c>
      <c r="J195" s="8">
        <v>1</v>
      </c>
      <c r="K195" s="6">
        <v>10</v>
      </c>
      <c r="L195" s="6">
        <v>10</v>
      </c>
      <c r="M195" s="6">
        <v>100</v>
      </c>
      <c r="N195" s="9" t="s">
        <v>42</v>
      </c>
      <c r="O195" s="9" t="s">
        <v>48</v>
      </c>
      <c r="P195" s="9" t="s">
        <v>41</v>
      </c>
      <c r="Q195" s="9" t="s">
        <v>793</v>
      </c>
      <c r="R195" s="9" t="s">
        <v>794</v>
      </c>
      <c r="S195" s="9" t="s">
        <v>795</v>
      </c>
      <c r="T195" s="9" t="s">
        <v>796</v>
      </c>
      <c r="U195" s="9" t="s">
        <v>39</v>
      </c>
      <c r="V195">
        <v>159016</v>
      </c>
      <c r="W195" s="1">
        <v>46058</v>
      </c>
      <c r="X195" s="9" t="s">
        <v>53</v>
      </c>
      <c r="Y195">
        <v>183878</v>
      </c>
      <c r="Z195" s="1">
        <v>46058</v>
      </c>
      <c r="AA195" s="1">
        <v>46058</v>
      </c>
      <c r="AB195" s="1">
        <v>46058</v>
      </c>
      <c r="AC195" s="1">
        <v>46058</v>
      </c>
      <c r="AD195" s="1">
        <v>46058</v>
      </c>
      <c r="AE195" s="1">
        <v>46058</v>
      </c>
      <c r="AF195" s="1">
        <v>46058</v>
      </c>
      <c r="AG195" s="1"/>
      <c r="AH195" s="1"/>
      <c r="AI195" s="1"/>
      <c r="AJ195" s="1"/>
      <c r="AK195" s="1"/>
      <c r="AL195" s="1"/>
      <c r="AM195" s="9" t="s">
        <v>619</v>
      </c>
      <c r="AN195" s="2">
        <f>+Pedidos_Pistachos[[#This Row],[CantidadPedida]]</f>
        <v>10</v>
      </c>
      <c r="AO195" s="2">
        <f>+Pedidos_Pistachos[[#This Row],[Cajas]]*2</f>
        <v>20</v>
      </c>
    </row>
    <row r="196" spans="1:41" x14ac:dyDescent="0.25">
      <c r="A196">
        <v>82780</v>
      </c>
      <c r="B196">
        <v>1</v>
      </c>
      <c r="C196" s="9" t="s">
        <v>38</v>
      </c>
      <c r="D196" s="9" t="s">
        <v>272</v>
      </c>
      <c r="E196" s="9" t="s">
        <v>594</v>
      </c>
      <c r="F196" s="9" t="s">
        <v>595</v>
      </c>
      <c r="G196" s="9" t="s">
        <v>46</v>
      </c>
      <c r="H196" s="9" t="s">
        <v>47</v>
      </c>
      <c r="I196" s="6">
        <v>70</v>
      </c>
      <c r="J196" s="8">
        <v>14.48</v>
      </c>
      <c r="K196" s="6">
        <v>70</v>
      </c>
      <c r="L196" s="6">
        <v>70</v>
      </c>
      <c r="M196" s="6">
        <v>700</v>
      </c>
      <c r="N196" s="9" t="s">
        <v>42</v>
      </c>
      <c r="O196" s="9" t="s">
        <v>48</v>
      </c>
      <c r="P196" s="9" t="s">
        <v>41</v>
      </c>
      <c r="Q196" s="9" t="s">
        <v>789</v>
      </c>
      <c r="R196" s="9" t="s">
        <v>790</v>
      </c>
      <c r="S196" s="9" t="s">
        <v>791</v>
      </c>
      <c r="T196" s="9" t="s">
        <v>792</v>
      </c>
      <c r="U196" s="9" t="s">
        <v>39</v>
      </c>
      <c r="V196">
        <v>159080</v>
      </c>
      <c r="W196" s="1">
        <v>46059</v>
      </c>
      <c r="X196" s="9" t="s">
        <v>53</v>
      </c>
      <c r="Y196">
        <v>184036</v>
      </c>
      <c r="Z196" s="1">
        <v>46059</v>
      </c>
      <c r="AA196" s="1">
        <v>46059</v>
      </c>
      <c r="AB196" s="1">
        <v>46059</v>
      </c>
      <c r="AC196" s="1">
        <v>46059</v>
      </c>
      <c r="AD196" s="1">
        <v>46059</v>
      </c>
      <c r="AE196" s="1">
        <v>46059</v>
      </c>
      <c r="AF196" s="1">
        <v>46059</v>
      </c>
      <c r="AG196" s="1"/>
      <c r="AH196" s="1"/>
      <c r="AI196" s="1"/>
      <c r="AJ196" s="1"/>
      <c r="AK196" s="1"/>
      <c r="AL196" s="1"/>
      <c r="AM196" s="9" t="s">
        <v>619</v>
      </c>
      <c r="AN196" s="2">
        <f>+Pedidos_Pistachos[[#This Row],[CantidadPedida]]</f>
        <v>70</v>
      </c>
      <c r="AO196" s="2">
        <f>+Pedidos_Pistachos[[#This Row],[Cajas]]*2</f>
        <v>140</v>
      </c>
    </row>
    <row r="197" spans="1:41" x14ac:dyDescent="0.25">
      <c r="A197">
        <v>83079</v>
      </c>
      <c r="B197">
        <v>1</v>
      </c>
      <c r="C197" s="9" t="s">
        <v>38</v>
      </c>
      <c r="D197" s="9" t="s">
        <v>272</v>
      </c>
      <c r="E197" s="9" t="s">
        <v>594</v>
      </c>
      <c r="F197" s="9" t="s">
        <v>595</v>
      </c>
      <c r="G197" s="9" t="s">
        <v>46</v>
      </c>
      <c r="H197" s="9" t="s">
        <v>47</v>
      </c>
      <c r="I197" s="6">
        <v>70</v>
      </c>
      <c r="J197" s="8">
        <v>14.89</v>
      </c>
      <c r="K197" s="6">
        <v>70</v>
      </c>
      <c r="L197" s="6">
        <v>70</v>
      </c>
      <c r="M197" s="6">
        <v>700</v>
      </c>
      <c r="N197" s="9" t="s">
        <v>42</v>
      </c>
      <c r="O197" s="9" t="s">
        <v>48</v>
      </c>
      <c r="P197" s="9" t="s">
        <v>41</v>
      </c>
      <c r="Q197" s="9" t="s">
        <v>849</v>
      </c>
      <c r="R197" s="9" t="s">
        <v>850</v>
      </c>
      <c r="S197" s="9" t="s">
        <v>851</v>
      </c>
      <c r="T197" s="9" t="s">
        <v>852</v>
      </c>
      <c r="U197" s="9" t="s">
        <v>39</v>
      </c>
      <c r="V197">
        <v>160496</v>
      </c>
      <c r="W197" s="1">
        <v>46073</v>
      </c>
      <c r="X197" s="9" t="s">
        <v>53</v>
      </c>
      <c r="Y197">
        <v>185640</v>
      </c>
      <c r="Z197" s="1">
        <v>46073</v>
      </c>
      <c r="AA197" s="1">
        <v>46073</v>
      </c>
      <c r="AB197" s="1">
        <v>46073</v>
      </c>
      <c r="AC197" s="1">
        <v>46073</v>
      </c>
      <c r="AD197" s="1">
        <v>46073</v>
      </c>
      <c r="AE197" s="1">
        <v>46073</v>
      </c>
      <c r="AF197" s="1">
        <v>46073</v>
      </c>
      <c r="AG197" s="1"/>
      <c r="AH197" s="1"/>
      <c r="AI197" s="1"/>
      <c r="AJ197" s="1"/>
      <c r="AK197" s="1"/>
      <c r="AL197" s="1"/>
      <c r="AM197" s="9" t="s">
        <v>619</v>
      </c>
      <c r="AN197" s="2">
        <f>+Pedidos_Pistachos[[#This Row],[CantidadPedida]]</f>
        <v>70</v>
      </c>
      <c r="AO197" s="2">
        <f>+Pedidos_Pistachos[[#This Row],[Cajas]]*2</f>
        <v>140</v>
      </c>
    </row>
    <row r="198" spans="1:41" x14ac:dyDescent="0.25">
      <c r="A198">
        <v>83071</v>
      </c>
      <c r="B198">
        <v>1</v>
      </c>
      <c r="C198" s="9" t="s">
        <v>38</v>
      </c>
      <c r="D198" s="9" t="s">
        <v>64</v>
      </c>
      <c r="E198" s="9" t="s">
        <v>594</v>
      </c>
      <c r="F198" s="9" t="s">
        <v>595</v>
      </c>
      <c r="G198" s="9" t="s">
        <v>46</v>
      </c>
      <c r="H198" s="9" t="s">
        <v>47</v>
      </c>
      <c r="I198" s="6">
        <v>70</v>
      </c>
      <c r="J198" s="8">
        <v>16.190000000000001</v>
      </c>
      <c r="K198" s="6">
        <v>70</v>
      </c>
      <c r="L198" s="6">
        <v>70</v>
      </c>
      <c r="M198" s="6">
        <v>700</v>
      </c>
      <c r="N198" s="9" t="s">
        <v>42</v>
      </c>
      <c r="O198" s="9" t="s">
        <v>48</v>
      </c>
      <c r="P198" s="9" t="s">
        <v>41</v>
      </c>
      <c r="Q198" s="9" t="s">
        <v>853</v>
      </c>
      <c r="R198" s="9" t="s">
        <v>854</v>
      </c>
      <c r="S198" s="9" t="s">
        <v>855</v>
      </c>
      <c r="T198" s="9" t="s">
        <v>856</v>
      </c>
      <c r="U198" s="9" t="s">
        <v>39</v>
      </c>
      <c r="V198">
        <v>160487</v>
      </c>
      <c r="W198" s="1">
        <v>46073</v>
      </c>
      <c r="X198" s="9" t="s">
        <v>53</v>
      </c>
      <c r="Y198">
        <v>185601</v>
      </c>
      <c r="Z198" s="1">
        <v>46073</v>
      </c>
      <c r="AA198" s="1">
        <v>46073</v>
      </c>
      <c r="AB198" s="1">
        <v>46073</v>
      </c>
      <c r="AC198" s="1">
        <v>46073</v>
      </c>
      <c r="AD198" s="1">
        <v>46073</v>
      </c>
      <c r="AE198" s="1">
        <v>46073</v>
      </c>
      <c r="AF198" s="1">
        <v>46073</v>
      </c>
      <c r="AG198" s="1"/>
      <c r="AH198" s="1"/>
      <c r="AI198" s="1"/>
      <c r="AJ198" s="1"/>
      <c r="AK198" s="1"/>
      <c r="AL198" s="1"/>
      <c r="AM198" s="9" t="s">
        <v>619</v>
      </c>
      <c r="AN198" s="2">
        <f>+Pedidos_Pistachos[[#This Row],[CantidadPedida]]</f>
        <v>70</v>
      </c>
      <c r="AO198" s="2">
        <f>+Pedidos_Pistachos[[#This Row],[Cajas]]*2</f>
        <v>140</v>
      </c>
    </row>
    <row r="199" spans="1:41" x14ac:dyDescent="0.25">
      <c r="A199">
        <v>83230</v>
      </c>
      <c r="B199">
        <v>1</v>
      </c>
      <c r="C199" s="9" t="s">
        <v>38</v>
      </c>
      <c r="D199" s="9" t="s">
        <v>204</v>
      </c>
      <c r="E199" s="9" t="s">
        <v>594</v>
      </c>
      <c r="F199" s="9" t="s">
        <v>595</v>
      </c>
      <c r="G199" s="9" t="s">
        <v>46</v>
      </c>
      <c r="H199" s="9" t="s">
        <v>47</v>
      </c>
      <c r="I199" s="6">
        <v>70</v>
      </c>
      <c r="J199" s="8">
        <v>16.54</v>
      </c>
      <c r="K199" s="6">
        <v>70</v>
      </c>
      <c r="L199" s="6">
        <v>70</v>
      </c>
      <c r="M199" s="6">
        <v>700</v>
      </c>
      <c r="N199" s="9" t="s">
        <v>42</v>
      </c>
      <c r="O199" s="9" t="s">
        <v>48</v>
      </c>
      <c r="P199" s="9" t="s">
        <v>41</v>
      </c>
      <c r="Q199" s="9" t="s">
        <v>845</v>
      </c>
      <c r="R199" s="9" t="s">
        <v>846</v>
      </c>
      <c r="S199" s="9" t="s">
        <v>847</v>
      </c>
      <c r="T199" s="9" t="s">
        <v>848</v>
      </c>
      <c r="U199" s="9" t="s">
        <v>39</v>
      </c>
      <c r="V199">
        <v>161112</v>
      </c>
      <c r="W199" s="1">
        <v>46078</v>
      </c>
      <c r="X199" s="9" t="s">
        <v>53</v>
      </c>
      <c r="Y199">
        <v>186488</v>
      </c>
      <c r="Z199" s="1">
        <v>46078</v>
      </c>
      <c r="AA199" s="1">
        <v>46078</v>
      </c>
      <c r="AB199" s="1">
        <v>46078</v>
      </c>
      <c r="AC199" s="1">
        <v>46078</v>
      </c>
      <c r="AD199" s="1">
        <v>46078</v>
      </c>
      <c r="AE199" s="1">
        <v>46078</v>
      </c>
      <c r="AF199" s="1">
        <v>46078</v>
      </c>
      <c r="AG199" s="1"/>
      <c r="AH199" s="1"/>
      <c r="AI199" s="1"/>
      <c r="AJ199" s="1"/>
      <c r="AK199" s="1"/>
      <c r="AL199" s="1"/>
      <c r="AM199" s="9" t="s">
        <v>619</v>
      </c>
      <c r="AN199" s="2">
        <f>+Pedidos_Pistachos[[#This Row],[CantidadPedida]]</f>
        <v>70</v>
      </c>
      <c r="AO199" s="2">
        <f>+Pedidos_Pistachos[[#This Row],[Cajas]]*2</f>
        <v>140</v>
      </c>
    </row>
    <row r="200" spans="1:41" x14ac:dyDescent="0.25">
      <c r="A200">
        <v>83342</v>
      </c>
      <c r="B200">
        <v>1</v>
      </c>
      <c r="C200" s="9" t="s">
        <v>38</v>
      </c>
      <c r="D200" s="9" t="s">
        <v>316</v>
      </c>
      <c r="E200" s="9" t="s">
        <v>594</v>
      </c>
      <c r="F200" s="9" t="s">
        <v>595</v>
      </c>
      <c r="G200" s="9" t="s">
        <v>46</v>
      </c>
      <c r="H200" s="9" t="s">
        <v>47</v>
      </c>
      <c r="I200" s="6">
        <v>70</v>
      </c>
      <c r="J200" s="8">
        <v>16.37</v>
      </c>
      <c r="K200" s="6">
        <v>70</v>
      </c>
      <c r="L200" s="6">
        <v>70</v>
      </c>
      <c r="M200" s="6">
        <v>700</v>
      </c>
      <c r="N200" s="9" t="s">
        <v>42</v>
      </c>
      <c r="O200" s="9" t="s">
        <v>48</v>
      </c>
      <c r="P200" s="9" t="s">
        <v>802</v>
      </c>
      <c r="Q200" s="9" t="s">
        <v>857</v>
      </c>
      <c r="R200" s="9" t="s">
        <v>858</v>
      </c>
      <c r="S200" s="9" t="s">
        <v>859</v>
      </c>
      <c r="T200" s="9" t="s">
        <v>860</v>
      </c>
      <c r="U200" s="9" t="s">
        <v>39</v>
      </c>
      <c r="V200">
        <v>161665</v>
      </c>
      <c r="W200" s="1">
        <v>46080</v>
      </c>
      <c r="X200" s="9" t="s">
        <v>53</v>
      </c>
      <c r="Y200">
        <v>187020</v>
      </c>
      <c r="Z200" s="1">
        <v>46080</v>
      </c>
      <c r="AA200" s="1">
        <v>46080</v>
      </c>
      <c r="AB200" s="1">
        <v>46080</v>
      </c>
      <c r="AC200" s="1">
        <v>46080</v>
      </c>
      <c r="AD200" s="1">
        <v>46080</v>
      </c>
      <c r="AE200" s="1">
        <v>46080</v>
      </c>
      <c r="AF200" s="1">
        <v>46080</v>
      </c>
      <c r="AG200" s="1"/>
      <c r="AH200" s="1"/>
      <c r="AI200" s="1"/>
      <c r="AJ200" s="1"/>
      <c r="AK200" s="1"/>
      <c r="AL200" s="1"/>
      <c r="AM200" s="9" t="s">
        <v>619</v>
      </c>
      <c r="AN200" s="2">
        <f>+Pedidos_Pistachos[[#This Row],[CantidadPedida]]</f>
        <v>70</v>
      </c>
      <c r="AO200" s="2">
        <f>+Pedidos_Pistachos[[#This Row],[Cajas]]*2</f>
        <v>140</v>
      </c>
    </row>
    <row r="201" spans="1:41" x14ac:dyDescent="0.25">
      <c r="A201">
        <v>83629</v>
      </c>
      <c r="B201">
        <v>1</v>
      </c>
      <c r="C201" s="9" t="s">
        <v>38</v>
      </c>
      <c r="D201" s="9" t="s">
        <v>368</v>
      </c>
      <c r="E201" s="9" t="s">
        <v>594</v>
      </c>
      <c r="F201" s="9" t="s">
        <v>595</v>
      </c>
      <c r="G201" s="9" t="s">
        <v>46</v>
      </c>
      <c r="H201" s="9" t="s">
        <v>47</v>
      </c>
      <c r="I201" s="6">
        <v>70</v>
      </c>
      <c r="J201" s="8">
        <v>16.027000000000001</v>
      </c>
      <c r="K201" s="6">
        <v>70</v>
      </c>
      <c r="L201" s="6">
        <v>70</v>
      </c>
      <c r="M201" s="6">
        <v>700</v>
      </c>
      <c r="N201" s="9" t="s">
        <v>42</v>
      </c>
      <c r="O201" s="9" t="s">
        <v>48</v>
      </c>
      <c r="P201" s="9" t="s">
        <v>802</v>
      </c>
      <c r="Q201" s="9" t="s">
        <v>861</v>
      </c>
      <c r="R201" s="9" t="s">
        <v>862</v>
      </c>
      <c r="S201" s="9" t="s">
        <v>863</v>
      </c>
      <c r="T201" s="9" t="s">
        <v>864</v>
      </c>
      <c r="U201" s="9" t="s">
        <v>39</v>
      </c>
      <c r="V201">
        <v>163051</v>
      </c>
      <c r="W201" s="1">
        <v>46090</v>
      </c>
      <c r="X201" s="9" t="s">
        <v>53</v>
      </c>
      <c r="Y201">
        <v>188687</v>
      </c>
      <c r="Z201" s="1">
        <v>46090</v>
      </c>
      <c r="AA201" s="1">
        <v>46090</v>
      </c>
      <c r="AB201" s="1">
        <v>46090</v>
      </c>
      <c r="AC201" s="1">
        <v>46090</v>
      </c>
      <c r="AD201" s="1">
        <v>46090</v>
      </c>
      <c r="AE201" s="1">
        <v>46090</v>
      </c>
      <c r="AF201" s="1">
        <v>46090</v>
      </c>
      <c r="AG201" s="1"/>
      <c r="AH201" s="1"/>
      <c r="AI201" s="1"/>
      <c r="AJ201" s="1"/>
      <c r="AK201" s="1"/>
      <c r="AL201" s="1"/>
      <c r="AM201" s="9" t="s">
        <v>619</v>
      </c>
      <c r="AN201" s="2">
        <f>+Pedidos_Pistachos[[#This Row],[CantidadPedida]]</f>
        <v>70</v>
      </c>
      <c r="AO201" s="2">
        <f>+Pedidos_Pistachos[[#This Row],[Cajas]]*2</f>
        <v>140</v>
      </c>
    </row>
    <row r="202" spans="1:41" x14ac:dyDescent="0.25">
      <c r="A202">
        <v>83628</v>
      </c>
      <c r="B202">
        <v>1</v>
      </c>
      <c r="C202" s="9" t="s">
        <v>38</v>
      </c>
      <c r="D202" s="9" t="s">
        <v>106</v>
      </c>
      <c r="E202" s="9" t="s">
        <v>594</v>
      </c>
      <c r="F202" s="9" t="s">
        <v>595</v>
      </c>
      <c r="G202" s="9" t="s">
        <v>46</v>
      </c>
      <c r="H202" s="9" t="s">
        <v>47</v>
      </c>
      <c r="I202" s="6">
        <v>35</v>
      </c>
      <c r="J202" s="8">
        <v>16.027000000000001</v>
      </c>
      <c r="K202" s="6">
        <v>35</v>
      </c>
      <c r="L202" s="6">
        <v>35</v>
      </c>
      <c r="M202" s="6">
        <v>350</v>
      </c>
      <c r="N202" s="9" t="s">
        <v>42</v>
      </c>
      <c r="O202" s="9" t="s">
        <v>48</v>
      </c>
      <c r="P202" s="9" t="s">
        <v>802</v>
      </c>
      <c r="Q202" s="9" t="s">
        <v>865</v>
      </c>
      <c r="R202" s="9" t="s">
        <v>866</v>
      </c>
      <c r="S202" s="9" t="s">
        <v>867</v>
      </c>
      <c r="T202" s="9" t="s">
        <v>868</v>
      </c>
      <c r="U202" s="9" t="s">
        <v>39</v>
      </c>
      <c r="V202">
        <v>163052</v>
      </c>
      <c r="W202" s="1">
        <v>46090</v>
      </c>
      <c r="X202" s="9" t="s">
        <v>53</v>
      </c>
      <c r="Y202">
        <v>188686</v>
      </c>
      <c r="Z202" s="1">
        <v>46090</v>
      </c>
      <c r="AA202" s="1">
        <v>46090</v>
      </c>
      <c r="AB202" s="1">
        <v>46090</v>
      </c>
      <c r="AC202" s="1">
        <v>46090</v>
      </c>
      <c r="AD202" s="1">
        <v>46090</v>
      </c>
      <c r="AE202" s="1">
        <v>46090</v>
      </c>
      <c r="AF202" s="1">
        <v>46090</v>
      </c>
      <c r="AG202" s="1"/>
      <c r="AH202" s="1"/>
      <c r="AI202" s="1"/>
      <c r="AJ202" s="1"/>
      <c r="AK202" s="1"/>
      <c r="AL202" s="1"/>
      <c r="AM202" s="9" t="s">
        <v>619</v>
      </c>
      <c r="AN202" s="2">
        <f>+Pedidos_Pistachos[[#This Row],[CantidadPedida]]</f>
        <v>35</v>
      </c>
      <c r="AO202" s="2">
        <f>+Pedidos_Pistachos[[#This Row],[Cajas]]*2</f>
        <v>70</v>
      </c>
    </row>
    <row r="203" spans="1:41" x14ac:dyDescent="0.25">
      <c r="A203">
        <v>83627</v>
      </c>
      <c r="B203">
        <v>1</v>
      </c>
      <c r="C203" s="9" t="s">
        <v>40</v>
      </c>
      <c r="D203" s="9" t="s">
        <v>106</v>
      </c>
      <c r="E203" s="9" t="s">
        <v>594</v>
      </c>
      <c r="F203" s="9" t="s">
        <v>595</v>
      </c>
      <c r="G203" s="9" t="s">
        <v>46</v>
      </c>
      <c r="H203" s="9" t="s">
        <v>47</v>
      </c>
      <c r="I203" s="6">
        <v>35</v>
      </c>
      <c r="J203" s="8">
        <v>19.39</v>
      </c>
      <c r="K203" s="6">
        <v>35</v>
      </c>
      <c r="L203" s="6">
        <v>35</v>
      </c>
      <c r="M203" s="6">
        <v>350</v>
      </c>
      <c r="N203" s="9" t="s">
        <v>42</v>
      </c>
      <c r="O203" s="9" t="s">
        <v>48</v>
      </c>
      <c r="P203" s="9" t="s">
        <v>41</v>
      </c>
      <c r="Q203" s="9" t="s">
        <v>869</v>
      </c>
      <c r="R203" s="9" t="s">
        <v>870</v>
      </c>
      <c r="S203" s="9" t="s">
        <v>871</v>
      </c>
      <c r="T203" s="9" t="s">
        <v>872</v>
      </c>
      <c r="U203" s="9" t="s">
        <v>39</v>
      </c>
      <c r="V203">
        <v>163053</v>
      </c>
      <c r="W203" s="1">
        <v>46090</v>
      </c>
      <c r="X203" s="9" t="s">
        <v>53</v>
      </c>
      <c r="Y203">
        <v>188685</v>
      </c>
      <c r="Z203" s="1">
        <v>46090</v>
      </c>
      <c r="AA203" s="1">
        <v>46090</v>
      </c>
      <c r="AB203" s="1">
        <v>46090</v>
      </c>
      <c r="AC203" s="1">
        <v>46090</v>
      </c>
      <c r="AD203" s="1">
        <v>46090</v>
      </c>
      <c r="AE203" s="1">
        <v>46090</v>
      </c>
      <c r="AF203" s="1">
        <v>46090</v>
      </c>
      <c r="AG203" s="1"/>
      <c r="AH203" s="1"/>
      <c r="AI203" s="1"/>
      <c r="AJ203" s="1"/>
      <c r="AK203" s="1"/>
      <c r="AL203" s="1"/>
      <c r="AM203" s="9" t="s">
        <v>619</v>
      </c>
      <c r="AN203" s="2">
        <f>+Pedidos_Pistachos[[#This Row],[CantidadPedida]]</f>
        <v>35</v>
      </c>
      <c r="AO203" s="2">
        <f>+Pedidos_Pistachos[[#This Row],[Cajas]]*2</f>
        <v>70</v>
      </c>
    </row>
    <row r="204" spans="1:41" x14ac:dyDescent="0.25">
      <c r="A204">
        <v>84120</v>
      </c>
      <c r="B204">
        <v>1</v>
      </c>
      <c r="C204" s="9" t="s">
        <v>40</v>
      </c>
      <c r="D204" s="9" t="s">
        <v>247</v>
      </c>
      <c r="E204" s="9" t="s">
        <v>44</v>
      </c>
      <c r="F204" s="9" t="s">
        <v>45</v>
      </c>
      <c r="G204" s="9" t="s">
        <v>46</v>
      </c>
      <c r="H204" s="9" t="s">
        <v>47</v>
      </c>
      <c r="I204" s="6">
        <v>70</v>
      </c>
      <c r="J204" s="8">
        <v>38</v>
      </c>
      <c r="K204" s="6">
        <v>70</v>
      </c>
      <c r="L204" s="6">
        <v>70</v>
      </c>
      <c r="M204" s="6">
        <v>700</v>
      </c>
      <c r="N204" s="9" t="s">
        <v>42</v>
      </c>
      <c r="O204" s="9" t="s">
        <v>48</v>
      </c>
      <c r="P204" s="9" t="s">
        <v>41</v>
      </c>
      <c r="Q204" s="9" t="s">
        <v>878</v>
      </c>
      <c r="R204" s="9" t="s">
        <v>879</v>
      </c>
      <c r="S204" s="9" t="s">
        <v>880</v>
      </c>
      <c r="T204" s="9" t="s">
        <v>881</v>
      </c>
      <c r="U204" s="9" t="s">
        <v>39</v>
      </c>
      <c r="V204">
        <v>165072</v>
      </c>
      <c r="W204" s="1">
        <v>46101</v>
      </c>
      <c r="X204" s="9" t="s">
        <v>53</v>
      </c>
      <c r="Y204">
        <v>190973</v>
      </c>
      <c r="Z204" s="1">
        <v>46101</v>
      </c>
      <c r="AA204" s="1">
        <v>46101</v>
      </c>
      <c r="AB204" s="1">
        <v>46101</v>
      </c>
      <c r="AC204" s="1">
        <v>46101</v>
      </c>
      <c r="AD204" s="1">
        <v>46101</v>
      </c>
      <c r="AE204" s="1">
        <v>46101</v>
      </c>
      <c r="AF204" s="1">
        <v>46101</v>
      </c>
      <c r="AG204" s="1"/>
      <c r="AH204" s="1"/>
      <c r="AI204" s="1"/>
      <c r="AJ204" s="1"/>
      <c r="AK204" s="1"/>
      <c r="AL204" s="1"/>
      <c r="AM204" s="9" t="s">
        <v>619</v>
      </c>
      <c r="AN204" s="2">
        <f>+Pedidos_Pistachos[[#This Row],[CantidadPedida]]</f>
        <v>70</v>
      </c>
      <c r="AO204" s="2">
        <f>+Pedidos_Pistachos[[#This Row],[Cajas]]*2</f>
        <v>140</v>
      </c>
    </row>
    <row r="205" spans="1:41" x14ac:dyDescent="0.25">
      <c r="A205">
        <v>82800</v>
      </c>
      <c r="B205">
        <v>1</v>
      </c>
      <c r="C205" s="9" t="s">
        <v>40</v>
      </c>
      <c r="D205" s="9" t="s">
        <v>167</v>
      </c>
      <c r="E205" s="9" t="s">
        <v>44</v>
      </c>
      <c r="F205" s="9" t="s">
        <v>45</v>
      </c>
      <c r="G205" s="9" t="s">
        <v>46</v>
      </c>
      <c r="H205" s="9" t="s">
        <v>47</v>
      </c>
      <c r="I205" s="6">
        <v>490</v>
      </c>
      <c r="J205" s="8">
        <v>37</v>
      </c>
      <c r="K205" s="6">
        <v>490</v>
      </c>
      <c r="L205" s="6">
        <v>490</v>
      </c>
      <c r="M205" s="6">
        <v>4900</v>
      </c>
      <c r="N205" s="9" t="s">
        <v>42</v>
      </c>
      <c r="O205" s="9" t="s">
        <v>48</v>
      </c>
      <c r="P205" s="9" t="s">
        <v>41</v>
      </c>
      <c r="Q205" s="9" t="s">
        <v>873</v>
      </c>
      <c r="R205" s="9" t="s">
        <v>874</v>
      </c>
      <c r="S205" s="9" t="s">
        <v>875</v>
      </c>
      <c r="T205" s="9" t="s">
        <v>876</v>
      </c>
      <c r="U205" s="9" t="s">
        <v>39</v>
      </c>
      <c r="V205">
        <v>165036</v>
      </c>
      <c r="W205" s="1">
        <v>46101</v>
      </c>
      <c r="X205" s="9" t="s">
        <v>53</v>
      </c>
      <c r="Y205">
        <v>184093</v>
      </c>
      <c r="Z205" s="1">
        <v>46062</v>
      </c>
      <c r="AA205" s="1">
        <v>46062</v>
      </c>
      <c r="AB205" s="1">
        <v>46101</v>
      </c>
      <c r="AC205" s="1">
        <v>46101</v>
      </c>
      <c r="AD205" s="1">
        <v>46101</v>
      </c>
      <c r="AE205" s="1">
        <v>46101</v>
      </c>
      <c r="AF205" s="1">
        <v>46101</v>
      </c>
      <c r="AG205" s="1"/>
      <c r="AH205" s="1"/>
      <c r="AI205" s="1"/>
      <c r="AJ205" s="1"/>
      <c r="AK205" s="1"/>
      <c r="AL205" s="1"/>
      <c r="AM205" s="9" t="s">
        <v>619</v>
      </c>
      <c r="AN205" s="2">
        <f>+Pedidos_Pistachos[[#This Row],[CantidadPedida]]</f>
        <v>490</v>
      </c>
      <c r="AO205" s="2">
        <f>+Pedidos_Pistachos[[#This Row],[Cajas]]*2</f>
        <v>980</v>
      </c>
    </row>
    <row r="206" spans="1:41" x14ac:dyDescent="0.25">
      <c r="A206">
        <v>82767</v>
      </c>
      <c r="B206">
        <v>1</v>
      </c>
      <c r="C206" s="9" t="s">
        <v>40</v>
      </c>
      <c r="D206" s="9" t="s">
        <v>407</v>
      </c>
      <c r="E206" s="9" t="s">
        <v>44</v>
      </c>
      <c r="F206" s="9" t="s">
        <v>45</v>
      </c>
      <c r="G206" s="9" t="s">
        <v>46</v>
      </c>
      <c r="H206" s="9" t="s">
        <v>47</v>
      </c>
      <c r="I206" s="6">
        <v>490</v>
      </c>
      <c r="J206" s="8">
        <v>36.950000000000003</v>
      </c>
      <c r="K206" s="6">
        <v>490</v>
      </c>
      <c r="L206" s="6">
        <v>490</v>
      </c>
      <c r="M206" s="6">
        <v>4900</v>
      </c>
      <c r="N206" s="9" t="s">
        <v>42</v>
      </c>
      <c r="O206" s="9" t="s">
        <v>48</v>
      </c>
      <c r="P206" s="9" t="s">
        <v>41</v>
      </c>
      <c r="Q206" s="9" t="s">
        <v>882</v>
      </c>
      <c r="R206" s="9" t="s">
        <v>883</v>
      </c>
      <c r="S206" s="9" t="s">
        <v>884</v>
      </c>
      <c r="T206" s="9" t="s">
        <v>885</v>
      </c>
      <c r="U206" s="9" t="s">
        <v>39</v>
      </c>
      <c r="V206">
        <v>165056</v>
      </c>
      <c r="W206" s="1">
        <v>46101</v>
      </c>
      <c r="X206" s="9" t="s">
        <v>53</v>
      </c>
      <c r="Y206">
        <v>183973</v>
      </c>
      <c r="Z206" s="1">
        <v>46059</v>
      </c>
      <c r="AA206" s="1">
        <v>46073</v>
      </c>
      <c r="AB206" s="1">
        <v>46101</v>
      </c>
      <c r="AC206" s="1">
        <v>46101</v>
      </c>
      <c r="AD206" s="1">
        <v>46101</v>
      </c>
      <c r="AE206" s="1">
        <v>46101</v>
      </c>
      <c r="AF206" s="1">
        <v>46101</v>
      </c>
      <c r="AG206" s="1"/>
      <c r="AH206" s="1"/>
      <c r="AI206" s="1"/>
      <c r="AJ206" s="1"/>
      <c r="AK206" s="1"/>
      <c r="AL206" s="1"/>
      <c r="AM206" s="9" t="s">
        <v>619</v>
      </c>
      <c r="AN206" s="2">
        <f>+Pedidos_Pistachos[[#This Row],[CantidadPedida]]</f>
        <v>490</v>
      </c>
      <c r="AO206" s="2">
        <f>+Pedidos_Pistachos[[#This Row],[Cajas]]*2</f>
        <v>980</v>
      </c>
    </row>
    <row r="207" spans="1:41" x14ac:dyDescent="0.25">
      <c r="A207">
        <v>84526</v>
      </c>
      <c r="B207">
        <v>1</v>
      </c>
      <c r="C207" s="9" t="s">
        <v>38</v>
      </c>
      <c r="D207" s="9" t="s">
        <v>513</v>
      </c>
      <c r="E207" s="9" t="s">
        <v>594</v>
      </c>
      <c r="F207" s="9" t="s">
        <v>595</v>
      </c>
      <c r="G207" s="9" t="s">
        <v>46</v>
      </c>
      <c r="H207" s="9" t="s">
        <v>47</v>
      </c>
      <c r="I207" s="6">
        <v>30</v>
      </c>
      <c r="J207" s="8">
        <v>1</v>
      </c>
      <c r="K207" s="6">
        <v>30</v>
      </c>
      <c r="L207" s="6">
        <v>30</v>
      </c>
      <c r="M207" s="6">
        <v>300</v>
      </c>
      <c r="N207" s="9" t="s">
        <v>42</v>
      </c>
      <c r="O207" s="9" t="s">
        <v>48</v>
      </c>
      <c r="P207" s="9" t="s">
        <v>802</v>
      </c>
      <c r="Q207" s="9" t="s">
        <v>793</v>
      </c>
      <c r="R207" s="9" t="s">
        <v>893</v>
      </c>
      <c r="S207" s="9" t="s">
        <v>795</v>
      </c>
      <c r="T207" s="9" t="s">
        <v>796</v>
      </c>
      <c r="U207" s="9" t="s">
        <v>39</v>
      </c>
      <c r="V207">
        <v>166646</v>
      </c>
      <c r="W207" s="1">
        <v>46113</v>
      </c>
      <c r="X207" s="9" t="s">
        <v>53</v>
      </c>
      <c r="Y207">
        <v>193061</v>
      </c>
      <c r="Z207" s="1">
        <v>46113</v>
      </c>
      <c r="AA207" s="1">
        <v>46113</v>
      </c>
      <c r="AB207" s="1">
        <v>46113</v>
      </c>
      <c r="AC207" s="1">
        <v>46113</v>
      </c>
      <c r="AD207" s="1">
        <v>46113</v>
      </c>
      <c r="AE207" s="1">
        <v>46113</v>
      </c>
      <c r="AF207" s="1">
        <v>46113</v>
      </c>
      <c r="AG207" s="1"/>
      <c r="AH207" s="1"/>
      <c r="AI207" s="1"/>
      <c r="AJ207" s="1"/>
      <c r="AK207" s="1"/>
      <c r="AL207" s="1"/>
      <c r="AM207" s="9" t="s">
        <v>619</v>
      </c>
      <c r="AN207" s="2">
        <f>+Pedidos_Pistachos[[#This Row],[CantidadPedida]]</f>
        <v>30</v>
      </c>
      <c r="AO207" s="2">
        <f>+Pedidos_Pistachos[[#This Row],[Cajas]]*2</f>
        <v>60</v>
      </c>
    </row>
    <row r="208" spans="1:41" x14ac:dyDescent="0.25">
      <c r="A208">
        <v>84526</v>
      </c>
      <c r="B208">
        <v>4</v>
      </c>
      <c r="C208" s="9" t="s">
        <v>38</v>
      </c>
      <c r="D208" s="9" t="s">
        <v>513</v>
      </c>
      <c r="E208" s="9" t="s">
        <v>44</v>
      </c>
      <c r="F208" s="9" t="s">
        <v>45</v>
      </c>
      <c r="G208" s="9" t="s">
        <v>46</v>
      </c>
      <c r="H208" s="9" t="s">
        <v>47</v>
      </c>
      <c r="I208" s="6">
        <v>5</v>
      </c>
      <c r="J208" s="8">
        <v>1</v>
      </c>
      <c r="K208" s="6">
        <v>5</v>
      </c>
      <c r="L208" s="6">
        <v>5</v>
      </c>
      <c r="M208" s="6">
        <v>50</v>
      </c>
      <c r="N208" s="9" t="s">
        <v>42</v>
      </c>
      <c r="O208" s="9" t="s">
        <v>48</v>
      </c>
      <c r="P208" s="9" t="s">
        <v>802</v>
      </c>
      <c r="Q208" s="9" t="s">
        <v>793</v>
      </c>
      <c r="R208" s="9" t="s">
        <v>891</v>
      </c>
      <c r="S208" s="9" t="s">
        <v>795</v>
      </c>
      <c r="T208" s="9" t="s">
        <v>796</v>
      </c>
      <c r="U208" s="9" t="s">
        <v>39</v>
      </c>
      <c r="V208">
        <v>166639</v>
      </c>
      <c r="W208" s="1">
        <v>46113</v>
      </c>
      <c r="X208" s="9" t="s">
        <v>53</v>
      </c>
      <c r="Y208">
        <v>193064</v>
      </c>
      <c r="Z208" s="1">
        <v>46113</v>
      </c>
      <c r="AA208" s="1">
        <v>46113</v>
      </c>
      <c r="AB208" s="1">
        <v>46113</v>
      </c>
      <c r="AC208" s="1">
        <v>46113</v>
      </c>
      <c r="AD208" s="1">
        <v>46113</v>
      </c>
      <c r="AE208" s="1">
        <v>46113</v>
      </c>
      <c r="AF208" s="1">
        <v>46113</v>
      </c>
      <c r="AG208" s="1"/>
      <c r="AH208" s="1"/>
      <c r="AI208" s="1"/>
      <c r="AJ208" s="1"/>
      <c r="AK208" s="1"/>
      <c r="AL208" s="1"/>
      <c r="AM208" s="9" t="s">
        <v>619</v>
      </c>
      <c r="AN208" s="2">
        <f>+Pedidos_Pistachos[[#This Row],[CantidadPedida]]</f>
        <v>5</v>
      </c>
      <c r="AO208" s="2">
        <f>+Pedidos_Pistachos[[#This Row],[Cajas]]*2</f>
        <v>10</v>
      </c>
    </row>
    <row r="209" spans="1:41" x14ac:dyDescent="0.25">
      <c r="A209">
        <v>84526</v>
      </c>
      <c r="B209">
        <v>5</v>
      </c>
      <c r="C209" s="9" t="s">
        <v>38</v>
      </c>
      <c r="D209" s="9" t="s">
        <v>513</v>
      </c>
      <c r="E209" s="9" t="s">
        <v>602</v>
      </c>
      <c r="F209" s="9" t="s">
        <v>603</v>
      </c>
      <c r="G209" s="9" t="s">
        <v>46</v>
      </c>
      <c r="H209" s="9" t="s">
        <v>47</v>
      </c>
      <c r="I209" s="6">
        <v>10</v>
      </c>
      <c r="J209" s="8">
        <v>1</v>
      </c>
      <c r="K209" s="6">
        <v>10</v>
      </c>
      <c r="L209" s="6">
        <v>10</v>
      </c>
      <c r="M209" s="6">
        <v>100</v>
      </c>
      <c r="N209" s="9" t="s">
        <v>42</v>
      </c>
      <c r="O209" s="9" t="s">
        <v>48</v>
      </c>
      <c r="P209" s="9" t="s">
        <v>802</v>
      </c>
      <c r="Q209" s="9" t="s">
        <v>793</v>
      </c>
      <c r="R209" s="9" t="s">
        <v>892</v>
      </c>
      <c r="S209" s="9" t="s">
        <v>795</v>
      </c>
      <c r="T209" s="9" t="s">
        <v>796</v>
      </c>
      <c r="U209" s="9" t="s">
        <v>39</v>
      </c>
      <c r="V209">
        <v>166637</v>
      </c>
      <c r="W209" s="1">
        <v>46113</v>
      </c>
      <c r="X209" s="9" t="s">
        <v>53</v>
      </c>
      <c r="Y209">
        <v>193065</v>
      </c>
      <c r="Z209" s="1">
        <v>46113</v>
      </c>
      <c r="AA209" s="1">
        <v>46113</v>
      </c>
      <c r="AB209" s="1">
        <v>46113</v>
      </c>
      <c r="AC209" s="1">
        <v>46113</v>
      </c>
      <c r="AD209" s="1">
        <v>46113</v>
      </c>
      <c r="AE209" s="1">
        <v>46113</v>
      </c>
      <c r="AF209" s="1">
        <v>46113</v>
      </c>
      <c r="AG209" s="1"/>
      <c r="AH209" s="1"/>
      <c r="AI209" s="1"/>
      <c r="AJ209" s="1"/>
      <c r="AK209" s="1"/>
      <c r="AL209" s="1"/>
      <c r="AM209" s="9" t="s">
        <v>619</v>
      </c>
      <c r="AN209" s="2">
        <f>+Pedidos_Pistachos[[#This Row],[CantidadPedida]]</f>
        <v>10</v>
      </c>
      <c r="AO209" s="2">
        <f>+Pedidos_Pistachos[[#This Row],[Cajas]]*2</f>
        <v>20</v>
      </c>
    </row>
    <row r="210" spans="1:41" x14ac:dyDescent="0.25">
      <c r="A210">
        <v>84526</v>
      </c>
      <c r="B210">
        <v>3</v>
      </c>
      <c r="C210" s="9" t="s">
        <v>38</v>
      </c>
      <c r="D210" s="9" t="s">
        <v>513</v>
      </c>
      <c r="E210" s="9" t="s">
        <v>894</v>
      </c>
      <c r="F210" s="9" t="s">
        <v>895</v>
      </c>
      <c r="G210" s="9" t="s">
        <v>46</v>
      </c>
      <c r="H210" s="9" t="s">
        <v>47</v>
      </c>
      <c r="I210" s="6">
        <v>9</v>
      </c>
      <c r="J210" s="8">
        <v>1</v>
      </c>
      <c r="K210" s="6">
        <v>9</v>
      </c>
      <c r="L210" s="6">
        <v>9</v>
      </c>
      <c r="M210" s="6">
        <v>90</v>
      </c>
      <c r="N210" s="9" t="s">
        <v>42</v>
      </c>
      <c r="O210" s="9" t="s">
        <v>48</v>
      </c>
      <c r="P210" s="9" t="s">
        <v>802</v>
      </c>
      <c r="Q210" s="9" t="s">
        <v>793</v>
      </c>
      <c r="R210" s="9" t="s">
        <v>896</v>
      </c>
      <c r="S210" s="9" t="s">
        <v>795</v>
      </c>
      <c r="T210" s="9" t="s">
        <v>796</v>
      </c>
      <c r="U210" s="9" t="s">
        <v>39</v>
      </c>
      <c r="V210">
        <v>166641</v>
      </c>
      <c r="W210" s="1">
        <v>46113</v>
      </c>
      <c r="X210" s="9" t="s">
        <v>53</v>
      </c>
      <c r="Y210">
        <v>193063</v>
      </c>
      <c r="Z210" s="1">
        <v>46113</v>
      </c>
      <c r="AA210" s="1">
        <v>46113</v>
      </c>
      <c r="AB210" s="1">
        <v>46113</v>
      </c>
      <c r="AC210" s="1">
        <v>46113</v>
      </c>
      <c r="AD210" s="1">
        <v>46113</v>
      </c>
      <c r="AE210" s="1">
        <v>46113</v>
      </c>
      <c r="AF210" s="1">
        <v>46113</v>
      </c>
      <c r="AG210" s="1"/>
      <c r="AH210" s="1"/>
      <c r="AI210" s="1"/>
      <c r="AJ210" s="1"/>
      <c r="AK210" s="1"/>
      <c r="AL210" s="1"/>
      <c r="AM210" s="9" t="s">
        <v>619</v>
      </c>
      <c r="AN210" s="2">
        <f>+Pedidos_Pistachos[[#This Row],[CantidadPedida]]</f>
        <v>9</v>
      </c>
      <c r="AO210" s="2">
        <f>+Pedidos_Pistachos[[#This Row],[Cajas]]*2</f>
        <v>18</v>
      </c>
    </row>
    <row r="211" spans="1:41" x14ac:dyDescent="0.25">
      <c r="A211">
        <v>84526</v>
      </c>
      <c r="B211">
        <v>2</v>
      </c>
      <c r="C211" s="9" t="s">
        <v>38</v>
      </c>
      <c r="D211" s="9" t="s">
        <v>513</v>
      </c>
      <c r="E211" s="9" t="s">
        <v>897</v>
      </c>
      <c r="F211" s="9" t="s">
        <v>898</v>
      </c>
      <c r="G211" s="9" t="s">
        <v>46</v>
      </c>
      <c r="H211" s="9" t="s">
        <v>47</v>
      </c>
      <c r="I211" s="6">
        <v>7</v>
      </c>
      <c r="J211" s="8">
        <v>1</v>
      </c>
      <c r="K211" s="6">
        <v>7</v>
      </c>
      <c r="L211" s="6">
        <v>7</v>
      </c>
      <c r="M211" s="6">
        <v>70</v>
      </c>
      <c r="N211" s="9" t="s">
        <v>42</v>
      </c>
      <c r="O211" s="9" t="s">
        <v>48</v>
      </c>
      <c r="P211" s="9" t="s">
        <v>802</v>
      </c>
      <c r="Q211" s="9" t="s">
        <v>793</v>
      </c>
      <c r="R211" s="9" t="s">
        <v>899</v>
      </c>
      <c r="S211" s="9" t="s">
        <v>795</v>
      </c>
      <c r="T211" s="9" t="s">
        <v>796</v>
      </c>
      <c r="U211" s="9" t="s">
        <v>39</v>
      </c>
      <c r="V211">
        <v>166644</v>
      </c>
      <c r="W211" s="1">
        <v>46113</v>
      </c>
      <c r="X211" s="9" t="s">
        <v>53</v>
      </c>
      <c r="Y211">
        <v>193062</v>
      </c>
      <c r="Z211" s="1">
        <v>46113</v>
      </c>
      <c r="AA211" s="1">
        <v>46113</v>
      </c>
      <c r="AB211" s="1">
        <v>46113</v>
      </c>
      <c r="AC211" s="1">
        <v>46113</v>
      </c>
      <c r="AD211" s="1">
        <v>46113</v>
      </c>
      <c r="AE211" s="1">
        <v>46113</v>
      </c>
      <c r="AF211" s="1">
        <v>46113</v>
      </c>
      <c r="AG211" s="1"/>
      <c r="AH211" s="1"/>
      <c r="AI211" s="1"/>
      <c r="AJ211" s="1"/>
      <c r="AK211" s="1"/>
      <c r="AL211" s="1"/>
      <c r="AM211" s="9" t="s">
        <v>619</v>
      </c>
      <c r="AN211" s="2">
        <f>+Pedidos_Pistachos[[#This Row],[CantidadPedida]]</f>
        <v>7</v>
      </c>
      <c r="AO211" s="2">
        <f>+Pedidos_Pistachos[[#This Row],[Cajas]]*2</f>
        <v>14</v>
      </c>
    </row>
    <row r="212" spans="1:41" x14ac:dyDescent="0.25">
      <c r="A212">
        <v>84123</v>
      </c>
      <c r="B212">
        <v>1</v>
      </c>
      <c r="C212" s="9" t="s">
        <v>40</v>
      </c>
      <c r="D212" s="9" t="s">
        <v>96</v>
      </c>
      <c r="E212" s="9" t="s">
        <v>44</v>
      </c>
      <c r="F212" s="9" t="s">
        <v>45</v>
      </c>
      <c r="G212" s="9" t="s">
        <v>46</v>
      </c>
      <c r="H212" s="9" t="s">
        <v>47</v>
      </c>
      <c r="I212" s="6">
        <v>140</v>
      </c>
      <c r="J212" s="8">
        <v>45</v>
      </c>
      <c r="K212" s="6">
        <v>140</v>
      </c>
      <c r="L212" s="6">
        <v>140</v>
      </c>
      <c r="M212" s="6">
        <v>1400</v>
      </c>
      <c r="N212" s="9" t="s">
        <v>42</v>
      </c>
      <c r="O212" s="9" t="s">
        <v>48</v>
      </c>
      <c r="P212" s="9" t="s">
        <v>41</v>
      </c>
      <c r="Q212" s="9" t="s">
        <v>900</v>
      </c>
      <c r="R212" s="9" t="s">
        <v>901</v>
      </c>
      <c r="S212" s="9" t="s">
        <v>902</v>
      </c>
      <c r="T212" s="9" t="s">
        <v>903</v>
      </c>
      <c r="U212" s="9" t="s">
        <v>39</v>
      </c>
      <c r="V212">
        <v>166853</v>
      </c>
      <c r="W212" s="1">
        <v>46118</v>
      </c>
      <c r="X212" s="9" t="s">
        <v>69</v>
      </c>
      <c r="Y212">
        <v>190980</v>
      </c>
      <c r="Z212" s="1">
        <v>46101</v>
      </c>
      <c r="AA212" s="1">
        <v>46101</v>
      </c>
      <c r="AB212" s="1">
        <v>46101</v>
      </c>
      <c r="AC212" s="1">
        <v>46118</v>
      </c>
      <c r="AD212" s="1">
        <v>46118</v>
      </c>
      <c r="AE212" s="1">
        <v>46118</v>
      </c>
      <c r="AF212" s="1">
        <v>46118</v>
      </c>
      <c r="AG212" s="1"/>
      <c r="AH212" s="1"/>
      <c r="AI212" s="1"/>
      <c r="AJ212" s="1"/>
      <c r="AK212" s="1"/>
      <c r="AL212" s="1"/>
      <c r="AM212" s="9" t="s">
        <v>619</v>
      </c>
      <c r="AN212" s="2">
        <f>+Pedidos_Pistachos[[#This Row],[CantidadPedida]]</f>
        <v>140</v>
      </c>
      <c r="AO212" s="2">
        <f>+Pedidos_Pistachos[[#This Row],[Cajas]]*2</f>
        <v>280</v>
      </c>
    </row>
    <row r="213" spans="1:41" x14ac:dyDescent="0.25">
      <c r="A213">
        <v>84752</v>
      </c>
      <c r="B213">
        <v>1</v>
      </c>
      <c r="C213" s="9" t="s">
        <v>38</v>
      </c>
      <c r="D213" s="9" t="s">
        <v>886</v>
      </c>
      <c r="E213" s="9" t="s">
        <v>594</v>
      </c>
      <c r="F213" s="9" t="s">
        <v>595</v>
      </c>
      <c r="G213" s="9" t="s">
        <v>46</v>
      </c>
      <c r="H213" s="9" t="s">
        <v>47</v>
      </c>
      <c r="I213" s="6">
        <v>40</v>
      </c>
      <c r="J213" s="8">
        <v>16.486999999999998</v>
      </c>
      <c r="K213" s="6">
        <v>40</v>
      </c>
      <c r="L213" s="6">
        <v>40</v>
      </c>
      <c r="M213" s="6">
        <v>400</v>
      </c>
      <c r="N213" s="9" t="s">
        <v>42</v>
      </c>
      <c r="O213" s="9" t="s">
        <v>48</v>
      </c>
      <c r="P213" s="9" t="s">
        <v>802</v>
      </c>
      <c r="Q213" s="9" t="s">
        <v>887</v>
      </c>
      <c r="R213" s="9" t="s">
        <v>888</v>
      </c>
      <c r="S213" s="9" t="s">
        <v>889</v>
      </c>
      <c r="T213" s="9" t="s">
        <v>890</v>
      </c>
      <c r="U213" s="9" t="s">
        <v>39</v>
      </c>
      <c r="V213">
        <v>167531</v>
      </c>
      <c r="W213" s="1">
        <v>46125</v>
      </c>
      <c r="X213" s="9" t="s">
        <v>53</v>
      </c>
      <c r="Y213">
        <v>194137</v>
      </c>
      <c r="Z213" s="1">
        <v>46125</v>
      </c>
      <c r="AA213" s="1">
        <v>46125</v>
      </c>
      <c r="AB213" s="1">
        <v>46125</v>
      </c>
      <c r="AC213" s="1">
        <v>46125</v>
      </c>
      <c r="AD213" s="1">
        <v>46125</v>
      </c>
      <c r="AE213" s="1">
        <v>46125</v>
      </c>
      <c r="AF213" s="1">
        <v>46125</v>
      </c>
      <c r="AG213" s="1"/>
      <c r="AH213" s="1"/>
      <c r="AI213" s="1"/>
      <c r="AJ213" s="1"/>
      <c r="AK213" s="1"/>
      <c r="AL213" s="1"/>
      <c r="AM213" s="9" t="s">
        <v>619</v>
      </c>
      <c r="AN213" s="2">
        <f>+Pedidos_Pistachos[[#This Row],[CantidadPedida]]</f>
        <v>40</v>
      </c>
      <c r="AO213" s="2">
        <f>+Pedidos_Pistachos[[#This Row],[Cajas]]*2</f>
        <v>80</v>
      </c>
    </row>
    <row r="214" spans="1:41" x14ac:dyDescent="0.25">
      <c r="A214">
        <v>85023</v>
      </c>
      <c r="B214">
        <v>1</v>
      </c>
      <c r="C214" s="9" t="s">
        <v>38</v>
      </c>
      <c r="D214" s="9" t="s">
        <v>643</v>
      </c>
      <c r="E214" s="9" t="s">
        <v>44</v>
      </c>
      <c r="F214" s="9" t="s">
        <v>45</v>
      </c>
      <c r="G214" s="9" t="s">
        <v>46</v>
      </c>
      <c r="H214" s="9" t="s">
        <v>47</v>
      </c>
      <c r="I214" s="6">
        <v>35</v>
      </c>
      <c r="J214" s="8">
        <v>43.65</v>
      </c>
      <c r="K214" s="6">
        <v>35</v>
      </c>
      <c r="L214" s="6">
        <v>35</v>
      </c>
      <c r="M214" s="6">
        <v>350</v>
      </c>
      <c r="N214" s="9" t="s">
        <v>42</v>
      </c>
      <c r="O214" s="9" t="s">
        <v>48</v>
      </c>
      <c r="P214" s="9" t="s">
        <v>802</v>
      </c>
      <c r="Q214" s="9" t="s">
        <v>931</v>
      </c>
      <c r="R214" s="9" t="s">
        <v>932</v>
      </c>
      <c r="S214" s="9" t="s">
        <v>933</v>
      </c>
      <c r="T214" s="9" t="s">
        <v>934</v>
      </c>
      <c r="U214" s="9" t="s">
        <v>39</v>
      </c>
      <c r="V214">
        <v>168682</v>
      </c>
      <c r="W214" s="1">
        <v>46128</v>
      </c>
      <c r="X214" s="9" t="s">
        <v>53</v>
      </c>
      <c r="Y214">
        <v>195613</v>
      </c>
      <c r="Z214" s="1">
        <v>46128</v>
      </c>
      <c r="AA214" s="1">
        <v>46128</v>
      </c>
      <c r="AB214" s="1">
        <v>46128</v>
      </c>
      <c r="AC214" s="1">
        <v>46128</v>
      </c>
      <c r="AD214" s="1">
        <v>46128</v>
      </c>
      <c r="AE214" s="1">
        <v>46128</v>
      </c>
      <c r="AF214" s="1">
        <v>46128</v>
      </c>
      <c r="AG214" s="1"/>
      <c r="AH214" s="1"/>
      <c r="AI214" s="1"/>
      <c r="AJ214" s="1"/>
      <c r="AK214" s="1"/>
      <c r="AL214" s="1"/>
      <c r="AM214" s="9" t="s">
        <v>619</v>
      </c>
      <c r="AN214" s="2">
        <f>+Pedidos_Pistachos[[#This Row],[CantidadPedida]]</f>
        <v>35</v>
      </c>
      <c r="AO214" s="2">
        <f>+Pedidos_Pistachos[[#This Row],[Cajas]]*2</f>
        <v>70</v>
      </c>
    </row>
    <row r="215" spans="1:41" x14ac:dyDescent="0.25">
      <c r="A215">
        <v>85022</v>
      </c>
      <c r="B215">
        <v>1</v>
      </c>
      <c r="C215" s="9" t="s">
        <v>40</v>
      </c>
      <c r="D215" s="9" t="s">
        <v>643</v>
      </c>
      <c r="E215" s="9" t="s">
        <v>44</v>
      </c>
      <c r="F215" s="9" t="s">
        <v>45</v>
      </c>
      <c r="G215" s="9" t="s">
        <v>46</v>
      </c>
      <c r="H215" s="9" t="s">
        <v>47</v>
      </c>
      <c r="I215" s="6">
        <v>35</v>
      </c>
      <c r="J215" s="8">
        <v>45</v>
      </c>
      <c r="K215" s="6">
        <v>35</v>
      </c>
      <c r="L215" s="6">
        <v>35</v>
      </c>
      <c r="M215" s="6">
        <v>350</v>
      </c>
      <c r="N215" s="9" t="s">
        <v>42</v>
      </c>
      <c r="O215" s="9" t="s">
        <v>48</v>
      </c>
      <c r="P215" s="9" t="s">
        <v>41</v>
      </c>
      <c r="Q215" s="9" t="s">
        <v>935</v>
      </c>
      <c r="R215" s="9" t="s">
        <v>936</v>
      </c>
      <c r="S215" s="9" t="s">
        <v>937</v>
      </c>
      <c r="T215" s="9" t="s">
        <v>938</v>
      </c>
      <c r="U215" s="9" t="s">
        <v>39</v>
      </c>
      <c r="V215">
        <v>168681</v>
      </c>
      <c r="W215" s="1">
        <v>46128</v>
      </c>
      <c r="X215" s="9" t="s">
        <v>53</v>
      </c>
      <c r="Y215">
        <v>195612</v>
      </c>
      <c r="Z215" s="1">
        <v>46128</v>
      </c>
      <c r="AA215" s="1">
        <v>46128</v>
      </c>
      <c r="AB215" s="1">
        <v>46128</v>
      </c>
      <c r="AC215" s="1">
        <v>46128</v>
      </c>
      <c r="AD215" s="1">
        <v>46128</v>
      </c>
      <c r="AE215" s="1">
        <v>46128</v>
      </c>
      <c r="AF215" s="1">
        <v>46128</v>
      </c>
      <c r="AG215" s="1"/>
      <c r="AH215" s="1"/>
      <c r="AI215" s="1"/>
      <c r="AJ215" s="1"/>
      <c r="AK215" s="1"/>
      <c r="AL215" s="1"/>
      <c r="AM215" s="9" t="s">
        <v>619</v>
      </c>
      <c r="AN215" s="2">
        <f>+Pedidos_Pistachos[[#This Row],[CantidadPedida]]</f>
        <v>35</v>
      </c>
      <c r="AO215" s="2">
        <f>+Pedidos_Pistachos[[#This Row],[Cajas]]*2</f>
        <v>70</v>
      </c>
    </row>
    <row r="216" spans="1:41" x14ac:dyDescent="0.25">
      <c r="A216">
        <v>85021</v>
      </c>
      <c r="B216">
        <v>1</v>
      </c>
      <c r="C216" s="9" t="s">
        <v>40</v>
      </c>
      <c r="D216" s="9" t="s">
        <v>407</v>
      </c>
      <c r="E216" s="9" t="s">
        <v>605</v>
      </c>
      <c r="F216" s="9" t="s">
        <v>606</v>
      </c>
      <c r="G216" s="9" t="s">
        <v>46</v>
      </c>
      <c r="H216" s="9" t="s">
        <v>47</v>
      </c>
      <c r="I216" s="6">
        <v>350</v>
      </c>
      <c r="J216" s="8">
        <v>35.1</v>
      </c>
      <c r="K216" s="6">
        <v>350</v>
      </c>
      <c r="L216" s="6">
        <v>350</v>
      </c>
      <c r="M216" s="6">
        <v>3500</v>
      </c>
      <c r="N216" s="9" t="s">
        <v>42</v>
      </c>
      <c r="O216" s="9" t="s">
        <v>48</v>
      </c>
      <c r="P216" s="9" t="s">
        <v>41</v>
      </c>
      <c r="Q216" s="9" t="s">
        <v>939</v>
      </c>
      <c r="R216" s="9" t="s">
        <v>940</v>
      </c>
      <c r="S216" s="9" t="s">
        <v>941</v>
      </c>
      <c r="T216" s="9" t="s">
        <v>942</v>
      </c>
      <c r="U216" s="9" t="s">
        <v>39</v>
      </c>
      <c r="V216">
        <v>168652</v>
      </c>
      <c r="W216" s="1">
        <v>46128</v>
      </c>
      <c r="X216" s="9" t="s">
        <v>53</v>
      </c>
      <c r="Y216">
        <v>195611</v>
      </c>
      <c r="Z216" s="1">
        <v>46128</v>
      </c>
      <c r="AA216" s="1">
        <v>46128</v>
      </c>
      <c r="AB216" s="1">
        <v>46128</v>
      </c>
      <c r="AC216" s="1">
        <v>46128</v>
      </c>
      <c r="AD216" s="1">
        <v>46128</v>
      </c>
      <c r="AE216" s="1">
        <v>46128</v>
      </c>
      <c r="AF216" s="1">
        <v>46128</v>
      </c>
      <c r="AG216" s="1"/>
      <c r="AH216" s="1"/>
      <c r="AI216" s="1"/>
      <c r="AJ216" s="1"/>
      <c r="AK216" s="1"/>
      <c r="AL216" s="1"/>
      <c r="AM216" s="9" t="s">
        <v>619</v>
      </c>
      <c r="AN216" s="2">
        <f>+Pedidos_Pistachos[[#This Row],[CantidadPedida]]</f>
        <v>350</v>
      </c>
      <c r="AO216" s="2">
        <f>+Pedidos_Pistachos[[#This Row],[Cajas]]*2</f>
        <v>700</v>
      </c>
    </row>
    <row r="217" spans="1:41" x14ac:dyDescent="0.25">
      <c r="A217">
        <v>85019</v>
      </c>
      <c r="B217">
        <v>1</v>
      </c>
      <c r="C217" s="9" t="s">
        <v>40</v>
      </c>
      <c r="D217" s="9" t="s">
        <v>167</v>
      </c>
      <c r="E217" s="9" t="s">
        <v>605</v>
      </c>
      <c r="F217" s="9" t="s">
        <v>606</v>
      </c>
      <c r="G217" s="9" t="s">
        <v>46</v>
      </c>
      <c r="H217" s="9" t="s">
        <v>47</v>
      </c>
      <c r="I217" s="6">
        <v>210</v>
      </c>
      <c r="J217" s="8">
        <v>35.15</v>
      </c>
      <c r="K217" s="6">
        <v>210</v>
      </c>
      <c r="L217" s="6">
        <v>210</v>
      </c>
      <c r="M217" s="6">
        <v>2100</v>
      </c>
      <c r="N217" s="9" t="s">
        <v>42</v>
      </c>
      <c r="O217" s="9" t="s">
        <v>48</v>
      </c>
      <c r="P217" s="9" t="s">
        <v>41</v>
      </c>
      <c r="Q217" s="9" t="s">
        <v>943</v>
      </c>
      <c r="R217" s="9" t="s">
        <v>944</v>
      </c>
      <c r="S217" s="9" t="s">
        <v>945</v>
      </c>
      <c r="T217" s="9" t="s">
        <v>946</v>
      </c>
      <c r="U217" s="9" t="s">
        <v>39</v>
      </c>
      <c r="V217">
        <v>168638</v>
      </c>
      <c r="W217" s="1">
        <v>46128</v>
      </c>
      <c r="X217" s="9" t="s">
        <v>53</v>
      </c>
      <c r="Y217">
        <v>195608</v>
      </c>
      <c r="Z217" s="1">
        <v>46128</v>
      </c>
      <c r="AA217" s="1">
        <v>46128</v>
      </c>
      <c r="AB217" s="1">
        <v>46128</v>
      </c>
      <c r="AC217" s="1">
        <v>46128</v>
      </c>
      <c r="AD217" s="1">
        <v>46128</v>
      </c>
      <c r="AE217" s="1">
        <v>46128</v>
      </c>
      <c r="AF217" s="1">
        <v>46128</v>
      </c>
      <c r="AG217" s="1"/>
      <c r="AH217" s="1"/>
      <c r="AI217" s="1"/>
      <c r="AJ217" s="1"/>
      <c r="AK217" s="1"/>
      <c r="AL217" s="1"/>
      <c r="AM217" s="9" t="s">
        <v>619</v>
      </c>
      <c r="AN217" s="2">
        <f>+Pedidos_Pistachos[[#This Row],[CantidadPedida]]</f>
        <v>210</v>
      </c>
      <c r="AO217" s="2">
        <f>+Pedidos_Pistachos[[#This Row],[Cajas]]*2</f>
        <v>420</v>
      </c>
    </row>
    <row r="218" spans="1:41" x14ac:dyDescent="0.25">
      <c r="A218">
        <v>82800</v>
      </c>
      <c r="B218">
        <v>2</v>
      </c>
      <c r="C218" s="9" t="s">
        <v>40</v>
      </c>
      <c r="D218" s="9" t="s">
        <v>167</v>
      </c>
      <c r="E218" s="9" t="s">
        <v>44</v>
      </c>
      <c r="F218" s="9" t="s">
        <v>45</v>
      </c>
      <c r="G218" s="9" t="s">
        <v>46</v>
      </c>
      <c r="H218" s="9" t="s">
        <v>47</v>
      </c>
      <c r="I218" s="6">
        <v>420</v>
      </c>
      <c r="J218" s="8">
        <v>37</v>
      </c>
      <c r="K218" s="6">
        <v>420</v>
      </c>
      <c r="L218" s="6">
        <v>420</v>
      </c>
      <c r="M218" s="6">
        <v>4200</v>
      </c>
      <c r="N218" s="9" t="s">
        <v>42</v>
      </c>
      <c r="O218" s="9" t="s">
        <v>48</v>
      </c>
      <c r="P218" s="9" t="s">
        <v>41</v>
      </c>
      <c r="Q218" s="9" t="s">
        <v>943</v>
      </c>
      <c r="R218" s="9" t="s">
        <v>947</v>
      </c>
      <c r="S218" s="9" t="s">
        <v>945</v>
      </c>
      <c r="T218" s="9" t="s">
        <v>946</v>
      </c>
      <c r="U218" s="9" t="s">
        <v>39</v>
      </c>
      <c r="V218">
        <v>168637</v>
      </c>
      <c r="W218" s="1">
        <v>46128</v>
      </c>
      <c r="X218" s="9" t="s">
        <v>53</v>
      </c>
      <c r="Y218">
        <v>190940</v>
      </c>
      <c r="Z218" s="1">
        <v>46101</v>
      </c>
      <c r="AA218" s="1">
        <v>46101</v>
      </c>
      <c r="AB218" s="1">
        <v>46128</v>
      </c>
      <c r="AC218" s="1">
        <v>46128</v>
      </c>
      <c r="AD218" s="1">
        <v>46128</v>
      </c>
      <c r="AE218" s="1">
        <v>46128</v>
      </c>
      <c r="AF218" s="1">
        <v>46128</v>
      </c>
      <c r="AG218" s="1"/>
      <c r="AH218" s="1"/>
      <c r="AI218" s="1"/>
      <c r="AJ218" s="1"/>
      <c r="AK218" s="1"/>
      <c r="AL218" s="1"/>
      <c r="AM218" s="9" t="s">
        <v>619</v>
      </c>
      <c r="AN218" s="2">
        <f>+Pedidos_Pistachos[[#This Row],[CantidadPedida]]</f>
        <v>420</v>
      </c>
      <c r="AO218" s="2">
        <f>+Pedidos_Pistachos[[#This Row],[Cajas]]*2</f>
        <v>840</v>
      </c>
    </row>
    <row r="219" spans="1:41" x14ac:dyDescent="0.25">
      <c r="A219">
        <v>82800</v>
      </c>
      <c r="B219">
        <v>3</v>
      </c>
      <c r="C219" s="9" t="s">
        <v>40</v>
      </c>
      <c r="D219" s="9" t="s">
        <v>167</v>
      </c>
      <c r="E219" s="9" t="s">
        <v>44</v>
      </c>
      <c r="F219" s="9" t="s">
        <v>45</v>
      </c>
      <c r="G219" s="9" t="s">
        <v>46</v>
      </c>
      <c r="H219" s="9" t="s">
        <v>47</v>
      </c>
      <c r="I219" s="6">
        <v>70</v>
      </c>
      <c r="J219" s="8">
        <v>37</v>
      </c>
      <c r="K219" s="6">
        <v>70</v>
      </c>
      <c r="L219" s="6">
        <v>70</v>
      </c>
      <c r="M219" s="6">
        <v>700</v>
      </c>
      <c r="N219" s="9" t="s">
        <v>42</v>
      </c>
      <c r="O219" s="9" t="s">
        <v>48</v>
      </c>
      <c r="P219" s="9" t="s">
        <v>41</v>
      </c>
      <c r="Q219" s="9" t="s">
        <v>948</v>
      </c>
      <c r="R219" s="9" t="s">
        <v>949</v>
      </c>
      <c r="S219" s="9" t="s">
        <v>950</v>
      </c>
      <c r="T219" s="9" t="s">
        <v>951</v>
      </c>
      <c r="U219" s="9" t="s">
        <v>39</v>
      </c>
      <c r="V219">
        <v>168639</v>
      </c>
      <c r="W219" s="1">
        <v>46128</v>
      </c>
      <c r="X219" s="9" t="s">
        <v>53</v>
      </c>
      <c r="Y219">
        <v>195607</v>
      </c>
      <c r="Z219" s="1">
        <v>46128</v>
      </c>
      <c r="AA219" s="1">
        <v>46128</v>
      </c>
      <c r="AB219" s="1">
        <v>46128</v>
      </c>
      <c r="AC219" s="1">
        <v>46128</v>
      </c>
      <c r="AD219" s="1">
        <v>46128</v>
      </c>
      <c r="AE219" s="1">
        <v>46128</v>
      </c>
      <c r="AF219" s="1">
        <v>46128</v>
      </c>
      <c r="AG219" s="1"/>
      <c r="AH219" s="1"/>
      <c r="AI219" s="1"/>
      <c r="AJ219" s="1"/>
      <c r="AK219" s="1"/>
      <c r="AL219" s="1"/>
      <c r="AM219" s="9" t="s">
        <v>619</v>
      </c>
      <c r="AN219" s="2">
        <f>+Pedidos_Pistachos[[#This Row],[CantidadPedida]]</f>
        <v>70</v>
      </c>
      <c r="AO219" s="2">
        <f>+Pedidos_Pistachos[[#This Row],[Cajas]]*2</f>
        <v>140</v>
      </c>
    </row>
    <row r="220" spans="1:41" x14ac:dyDescent="0.25">
      <c r="A220">
        <v>82767</v>
      </c>
      <c r="B220">
        <v>2</v>
      </c>
      <c r="C220" s="9" t="s">
        <v>40</v>
      </c>
      <c r="D220" s="9" t="s">
        <v>407</v>
      </c>
      <c r="E220" s="9" t="s">
        <v>44</v>
      </c>
      <c r="F220" s="9" t="s">
        <v>45</v>
      </c>
      <c r="G220" s="9" t="s">
        <v>46</v>
      </c>
      <c r="H220" s="9" t="s">
        <v>47</v>
      </c>
      <c r="I220" s="6">
        <v>420</v>
      </c>
      <c r="J220" s="8">
        <v>36.950000000000003</v>
      </c>
      <c r="K220" s="6">
        <v>420</v>
      </c>
      <c r="L220" s="6">
        <v>420</v>
      </c>
      <c r="M220" s="6">
        <v>4200</v>
      </c>
      <c r="N220" s="9" t="s">
        <v>42</v>
      </c>
      <c r="O220" s="9" t="s">
        <v>48</v>
      </c>
      <c r="P220" s="9" t="s">
        <v>41</v>
      </c>
      <c r="Q220" s="9" t="s">
        <v>939</v>
      </c>
      <c r="R220" s="9" t="s">
        <v>952</v>
      </c>
      <c r="S220" s="9" t="s">
        <v>941</v>
      </c>
      <c r="T220" s="9" t="s">
        <v>942</v>
      </c>
      <c r="U220" s="9" t="s">
        <v>39</v>
      </c>
      <c r="V220">
        <v>168640</v>
      </c>
      <c r="W220" s="1">
        <v>46128</v>
      </c>
      <c r="X220" s="9" t="s">
        <v>53</v>
      </c>
      <c r="Y220">
        <v>190970</v>
      </c>
      <c r="Z220" s="1">
        <v>46101</v>
      </c>
      <c r="AA220" s="1">
        <v>46101</v>
      </c>
      <c r="AB220" s="1">
        <v>46128</v>
      </c>
      <c r="AC220" s="1">
        <v>46128</v>
      </c>
      <c r="AD220" s="1">
        <v>46128</v>
      </c>
      <c r="AE220" s="1">
        <v>46128</v>
      </c>
      <c r="AF220" s="1">
        <v>46128</v>
      </c>
      <c r="AG220" s="1"/>
      <c r="AH220" s="1"/>
      <c r="AI220" s="1"/>
      <c r="AJ220" s="1"/>
      <c r="AK220" s="1"/>
      <c r="AL220" s="1"/>
      <c r="AM220" s="9" t="s">
        <v>619</v>
      </c>
      <c r="AN220" s="2">
        <f>+Pedidos_Pistachos[[#This Row],[CantidadPedida]]</f>
        <v>420</v>
      </c>
      <c r="AO220" s="2">
        <f>+Pedidos_Pistachos[[#This Row],[Cajas]]*2</f>
        <v>840</v>
      </c>
    </row>
    <row r="221" spans="1:41" x14ac:dyDescent="0.25">
      <c r="A221">
        <v>85814</v>
      </c>
      <c r="B221">
        <v>2</v>
      </c>
      <c r="C221" s="9" t="s">
        <v>38</v>
      </c>
      <c r="D221" s="9" t="s">
        <v>111</v>
      </c>
      <c r="E221" s="9" t="s">
        <v>44</v>
      </c>
      <c r="F221" s="9" t="s">
        <v>45</v>
      </c>
      <c r="G221" s="9" t="s">
        <v>46</v>
      </c>
      <c r="H221" s="9" t="s">
        <v>47</v>
      </c>
      <c r="I221" s="6">
        <v>70</v>
      </c>
      <c r="J221" s="8">
        <v>42</v>
      </c>
      <c r="K221" s="6">
        <v>70</v>
      </c>
      <c r="L221" s="6">
        <v>70</v>
      </c>
      <c r="M221" s="6">
        <v>700</v>
      </c>
      <c r="N221" s="9" t="s">
        <v>42</v>
      </c>
      <c r="O221" s="9" t="s">
        <v>48</v>
      </c>
      <c r="P221" s="9" t="s">
        <v>802</v>
      </c>
      <c r="Q221" s="9" t="s">
        <v>926</v>
      </c>
      <c r="R221" s="9" t="s">
        <v>927</v>
      </c>
      <c r="S221" s="9" t="s">
        <v>928</v>
      </c>
      <c r="T221" s="9" t="s">
        <v>929</v>
      </c>
      <c r="U221" s="9" t="s">
        <v>39</v>
      </c>
      <c r="V221">
        <v>172051</v>
      </c>
      <c r="W221" s="1">
        <v>46150</v>
      </c>
      <c r="X221" s="9" t="s">
        <v>53</v>
      </c>
      <c r="Y221">
        <v>199860</v>
      </c>
      <c r="Z221" s="1">
        <v>46150</v>
      </c>
      <c r="AA221" s="1">
        <v>46150</v>
      </c>
      <c r="AB221" s="1">
        <v>46150</v>
      </c>
      <c r="AC221" s="1">
        <v>46150</v>
      </c>
      <c r="AD221" s="1">
        <v>46150</v>
      </c>
      <c r="AE221" s="1">
        <v>46150</v>
      </c>
      <c r="AF221" s="1">
        <v>46150</v>
      </c>
      <c r="AG221" s="1"/>
      <c r="AH221" s="1"/>
      <c r="AI221" s="1"/>
      <c r="AJ221" s="1"/>
      <c r="AK221" s="1"/>
      <c r="AL221" s="1"/>
      <c r="AM221" s="9" t="s">
        <v>619</v>
      </c>
      <c r="AN221" s="2">
        <f>+Pedidos_Pistachos[[#This Row],[CantidadPedida]]</f>
        <v>70</v>
      </c>
      <c r="AO221" s="2">
        <f>+Pedidos_Pistachos[[#This Row],[Cajas]]*2</f>
        <v>140</v>
      </c>
    </row>
    <row r="222" spans="1:41" x14ac:dyDescent="0.25">
      <c r="A222">
        <v>85814</v>
      </c>
      <c r="B222">
        <v>1</v>
      </c>
      <c r="C222" s="9" t="s">
        <v>38</v>
      </c>
      <c r="D222" s="9" t="s">
        <v>111</v>
      </c>
      <c r="E222" s="9" t="s">
        <v>594</v>
      </c>
      <c r="F222" s="9" t="s">
        <v>595</v>
      </c>
      <c r="G222" s="9" t="s">
        <v>46</v>
      </c>
      <c r="H222" s="9" t="s">
        <v>47</v>
      </c>
      <c r="I222" s="6">
        <v>70</v>
      </c>
      <c r="J222" s="8">
        <v>16.254000000000001</v>
      </c>
      <c r="K222" s="6">
        <v>70</v>
      </c>
      <c r="L222" s="6">
        <v>70</v>
      </c>
      <c r="M222" s="6">
        <v>700</v>
      </c>
      <c r="N222" s="9" t="s">
        <v>42</v>
      </c>
      <c r="O222" s="9" t="s">
        <v>48</v>
      </c>
      <c r="P222" s="9" t="s">
        <v>802</v>
      </c>
      <c r="Q222" s="9" t="s">
        <v>926</v>
      </c>
      <c r="R222" s="9" t="s">
        <v>930</v>
      </c>
      <c r="S222" s="9" t="s">
        <v>928</v>
      </c>
      <c r="T222" s="9" t="s">
        <v>929</v>
      </c>
      <c r="U222" s="9" t="s">
        <v>39</v>
      </c>
      <c r="V222">
        <v>172052</v>
      </c>
      <c r="W222" s="1">
        <v>46150</v>
      </c>
      <c r="X222" s="9" t="s">
        <v>53</v>
      </c>
      <c r="Y222">
        <v>199856</v>
      </c>
      <c r="Z222" s="1">
        <v>46150</v>
      </c>
      <c r="AA222" s="1">
        <v>46150</v>
      </c>
      <c r="AB222" s="1">
        <v>46150</v>
      </c>
      <c r="AC222" s="1">
        <v>46150</v>
      </c>
      <c r="AD222" s="1">
        <v>46150</v>
      </c>
      <c r="AE222" s="1">
        <v>46150</v>
      </c>
      <c r="AF222" s="1">
        <v>46150</v>
      </c>
      <c r="AG222" s="1"/>
      <c r="AH222" s="1"/>
      <c r="AI222" s="1"/>
      <c r="AJ222" s="1"/>
      <c r="AK222" s="1"/>
      <c r="AL222" s="1"/>
      <c r="AM222" s="9" t="s">
        <v>619</v>
      </c>
      <c r="AN222" s="2">
        <f>+Pedidos_Pistachos[[#This Row],[CantidadPedida]]</f>
        <v>70</v>
      </c>
      <c r="AO222" s="2">
        <f>+Pedidos_Pistachos[[#This Row],[Cajas]]*2</f>
        <v>140</v>
      </c>
    </row>
    <row r="223" spans="1:41" x14ac:dyDescent="0.25">
      <c r="A223">
        <v>86057</v>
      </c>
      <c r="B223">
        <v>1</v>
      </c>
      <c r="C223" s="9" t="s">
        <v>40</v>
      </c>
      <c r="D223" s="9" t="s">
        <v>238</v>
      </c>
      <c r="E223" s="9" t="s">
        <v>44</v>
      </c>
      <c r="F223" s="9" t="s">
        <v>45</v>
      </c>
      <c r="G223" s="9" t="s">
        <v>46</v>
      </c>
      <c r="H223" s="9" t="s">
        <v>47</v>
      </c>
      <c r="I223" s="6">
        <v>70</v>
      </c>
      <c r="J223" s="8">
        <v>42</v>
      </c>
      <c r="K223" s="6">
        <v>70</v>
      </c>
      <c r="L223" s="6">
        <v>70</v>
      </c>
      <c r="M223" s="6">
        <v>700</v>
      </c>
      <c r="N223" s="9" t="s">
        <v>42</v>
      </c>
      <c r="O223" s="9" t="s">
        <v>48</v>
      </c>
      <c r="P223" s="9" t="s">
        <v>41</v>
      </c>
      <c r="Q223" s="9" t="s">
        <v>922</v>
      </c>
      <c r="R223" s="9" t="s">
        <v>923</v>
      </c>
      <c r="S223" s="9" t="s">
        <v>924</v>
      </c>
      <c r="T223" s="9" t="s">
        <v>925</v>
      </c>
      <c r="U223" s="9" t="s">
        <v>39</v>
      </c>
      <c r="V223">
        <v>172922</v>
      </c>
      <c r="W223" s="1">
        <v>46156</v>
      </c>
      <c r="X223" s="9" t="s">
        <v>53</v>
      </c>
      <c r="Y223">
        <v>200715</v>
      </c>
      <c r="Z223" s="1">
        <v>46156</v>
      </c>
      <c r="AA223" s="1">
        <v>46156</v>
      </c>
      <c r="AB223" s="1">
        <v>46156</v>
      </c>
      <c r="AC223" s="1">
        <v>46156</v>
      </c>
      <c r="AD223" s="1">
        <v>46156</v>
      </c>
      <c r="AE223" s="1">
        <v>46156</v>
      </c>
      <c r="AF223" s="1">
        <v>46156</v>
      </c>
      <c r="AG223" s="1"/>
      <c r="AH223" s="1"/>
      <c r="AI223" s="1"/>
      <c r="AJ223" s="1"/>
      <c r="AK223" s="1"/>
      <c r="AL223" s="1"/>
      <c r="AM223" s="9" t="s">
        <v>619</v>
      </c>
      <c r="AN223" s="2">
        <f>+Pedidos_Pistachos[[#This Row],[CantidadPedida]]</f>
        <v>70</v>
      </c>
      <c r="AO223" s="2">
        <f>+Pedidos_Pistachos[[#This Row],[Cajas]]*2</f>
        <v>140</v>
      </c>
    </row>
    <row r="224" spans="1:41" x14ac:dyDescent="0.25">
      <c r="A224">
        <v>86150</v>
      </c>
      <c r="B224">
        <v>1</v>
      </c>
      <c r="C224" s="9" t="s">
        <v>38</v>
      </c>
      <c r="D224" s="9" t="s">
        <v>111</v>
      </c>
      <c r="E224" s="9" t="s">
        <v>594</v>
      </c>
      <c r="F224" s="9" t="s">
        <v>595</v>
      </c>
      <c r="G224" s="9" t="s">
        <v>46</v>
      </c>
      <c r="H224" s="9" t="s">
        <v>47</v>
      </c>
      <c r="I224" s="6">
        <v>70</v>
      </c>
      <c r="J224" s="8">
        <v>15.14</v>
      </c>
      <c r="K224" s="6">
        <v>70</v>
      </c>
      <c r="L224" s="6">
        <v>70</v>
      </c>
      <c r="M224" s="6">
        <v>700</v>
      </c>
      <c r="N224" s="9" t="s">
        <v>42</v>
      </c>
      <c r="O224" s="9" t="s">
        <v>48</v>
      </c>
      <c r="P224" s="9" t="s">
        <v>802</v>
      </c>
      <c r="Q224" s="9" t="s">
        <v>918</v>
      </c>
      <c r="R224" s="9" t="s">
        <v>919</v>
      </c>
      <c r="S224" s="9" t="s">
        <v>920</v>
      </c>
      <c r="T224" s="9" t="s">
        <v>921</v>
      </c>
      <c r="U224" s="9" t="s">
        <v>39</v>
      </c>
      <c r="V224">
        <v>173121</v>
      </c>
      <c r="W224" s="1">
        <v>46160</v>
      </c>
      <c r="X224" s="9" t="s">
        <v>53</v>
      </c>
      <c r="Y224">
        <v>201161</v>
      </c>
      <c r="Z224" s="1">
        <v>46160</v>
      </c>
      <c r="AA224" s="1">
        <v>46160</v>
      </c>
      <c r="AB224" s="1">
        <v>46160</v>
      </c>
      <c r="AC224" s="1">
        <v>46160</v>
      </c>
      <c r="AD224" s="1">
        <v>46160</v>
      </c>
      <c r="AE224" s="1">
        <v>46160</v>
      </c>
      <c r="AF224" s="1">
        <v>46160</v>
      </c>
      <c r="AG224" s="1"/>
      <c r="AH224" s="1"/>
      <c r="AI224" s="1"/>
      <c r="AJ224" s="1"/>
      <c r="AK224" s="1"/>
      <c r="AL224" s="1"/>
      <c r="AM224" s="9" t="s">
        <v>619</v>
      </c>
      <c r="AN224" s="2">
        <f>+Pedidos_Pistachos[[#This Row],[CantidadPedida]]</f>
        <v>70</v>
      </c>
      <c r="AO224" s="2">
        <f>+Pedidos_Pistachos[[#This Row],[Cajas]]*2</f>
        <v>140</v>
      </c>
    </row>
    <row r="225" spans="1:41" x14ac:dyDescent="0.25">
      <c r="A225">
        <v>86633</v>
      </c>
      <c r="B225">
        <v>1</v>
      </c>
      <c r="C225" s="9" t="s">
        <v>40</v>
      </c>
      <c r="D225" s="9" t="s">
        <v>407</v>
      </c>
      <c r="E225" s="9" t="s">
        <v>605</v>
      </c>
      <c r="F225" s="9" t="s">
        <v>606</v>
      </c>
      <c r="G225" s="9" t="s">
        <v>46</v>
      </c>
      <c r="H225" s="9" t="s">
        <v>47</v>
      </c>
      <c r="I225" s="6">
        <v>210</v>
      </c>
      <c r="J225" s="8">
        <v>35.1</v>
      </c>
      <c r="K225" s="6">
        <v>210</v>
      </c>
      <c r="L225" s="6">
        <v>210</v>
      </c>
      <c r="M225" s="6">
        <v>2100</v>
      </c>
      <c r="N225" s="9" t="s">
        <v>42</v>
      </c>
      <c r="O225" s="9" t="s">
        <v>48</v>
      </c>
      <c r="P225" s="9" t="s">
        <v>41</v>
      </c>
      <c r="Q225" s="9" t="s">
        <v>909</v>
      </c>
      <c r="R225" s="9" t="s">
        <v>910</v>
      </c>
      <c r="S225" s="9" t="s">
        <v>911</v>
      </c>
      <c r="T225" s="9" t="s">
        <v>912</v>
      </c>
      <c r="U225" s="9" t="s">
        <v>39</v>
      </c>
      <c r="V225">
        <v>174842</v>
      </c>
      <c r="W225" s="1">
        <v>46174</v>
      </c>
      <c r="X225" s="9" t="s">
        <v>53</v>
      </c>
      <c r="Y225">
        <v>203036</v>
      </c>
      <c r="Z225" s="1">
        <v>46174</v>
      </c>
      <c r="AA225" s="1">
        <v>46174</v>
      </c>
      <c r="AB225" s="1">
        <v>46174</v>
      </c>
      <c r="AC225" s="1">
        <v>46174</v>
      </c>
      <c r="AD225" s="1">
        <v>46174</v>
      </c>
      <c r="AE225" s="1">
        <v>46174</v>
      </c>
      <c r="AF225" s="1">
        <v>46174</v>
      </c>
      <c r="AG225" s="1"/>
      <c r="AH225" s="1"/>
      <c r="AI225" s="1"/>
      <c r="AJ225" s="1"/>
      <c r="AK225" s="1"/>
      <c r="AL225" s="1"/>
      <c r="AM225" s="9" t="s">
        <v>619</v>
      </c>
      <c r="AN225" s="2">
        <f>+Pedidos_Pistachos[[#This Row],[CantidadPedida]]</f>
        <v>210</v>
      </c>
      <c r="AO225" s="2">
        <f>+Pedidos_Pistachos[[#This Row],[Cajas]]*2</f>
        <v>420</v>
      </c>
    </row>
    <row r="226" spans="1:41" x14ac:dyDescent="0.25">
      <c r="A226">
        <v>82767</v>
      </c>
      <c r="B226">
        <v>3</v>
      </c>
      <c r="C226" s="9" t="s">
        <v>40</v>
      </c>
      <c r="D226" s="9" t="s">
        <v>407</v>
      </c>
      <c r="E226" s="9" t="s">
        <v>44</v>
      </c>
      <c r="F226" s="9" t="s">
        <v>45</v>
      </c>
      <c r="G226" s="9" t="s">
        <v>46</v>
      </c>
      <c r="H226" s="9" t="s">
        <v>47</v>
      </c>
      <c r="I226" s="6">
        <v>560</v>
      </c>
      <c r="J226" s="8">
        <v>36.950000000000003</v>
      </c>
      <c r="K226" s="6">
        <v>560</v>
      </c>
      <c r="L226" s="6">
        <v>560</v>
      </c>
      <c r="M226" s="6">
        <v>5600</v>
      </c>
      <c r="N226" s="9" t="s">
        <v>42</v>
      </c>
      <c r="O226" s="9" t="s">
        <v>48</v>
      </c>
      <c r="P226" s="9" t="s">
        <v>41</v>
      </c>
      <c r="Q226" s="9" t="s">
        <v>909</v>
      </c>
      <c r="R226" s="9" t="s">
        <v>953</v>
      </c>
      <c r="S226" s="9" t="s">
        <v>911</v>
      </c>
      <c r="T226" s="9" t="s">
        <v>912</v>
      </c>
      <c r="U226" s="9" t="s">
        <v>39</v>
      </c>
      <c r="V226">
        <v>174841</v>
      </c>
      <c r="W226" s="1">
        <v>46174</v>
      </c>
      <c r="X226" s="9" t="s">
        <v>53</v>
      </c>
      <c r="Y226">
        <v>195610</v>
      </c>
      <c r="Z226" s="1">
        <v>46128</v>
      </c>
      <c r="AA226" s="1">
        <v>46128</v>
      </c>
      <c r="AB226" s="1">
        <v>46174</v>
      </c>
      <c r="AC226" s="1">
        <v>46174</v>
      </c>
      <c r="AD226" s="1">
        <v>46174</v>
      </c>
      <c r="AE226" s="1">
        <v>46174</v>
      </c>
      <c r="AF226" s="1">
        <v>46174</v>
      </c>
      <c r="AG226" s="1"/>
      <c r="AH226" s="1"/>
      <c r="AI226" s="1"/>
      <c r="AJ226" s="1"/>
      <c r="AK226" s="1"/>
      <c r="AL226" s="1"/>
      <c r="AM226" s="9" t="s">
        <v>619</v>
      </c>
      <c r="AN226" s="2">
        <f>+Pedidos_Pistachos[[#This Row],[CantidadPedida]]</f>
        <v>560</v>
      </c>
      <c r="AO226" s="2">
        <f>+Pedidos_Pistachos[[#This Row],[Cajas]]*2</f>
        <v>1120</v>
      </c>
    </row>
    <row r="227" spans="1:41" x14ac:dyDescent="0.25">
      <c r="A227">
        <v>87138</v>
      </c>
      <c r="B227">
        <v>1</v>
      </c>
      <c r="C227" s="9" t="s">
        <v>40</v>
      </c>
      <c r="D227" s="9" t="s">
        <v>238</v>
      </c>
      <c r="E227" s="9" t="s">
        <v>126</v>
      </c>
      <c r="F227" s="9" t="s">
        <v>127</v>
      </c>
      <c r="G227" s="9" t="s">
        <v>46</v>
      </c>
      <c r="H227" s="9" t="s">
        <v>47</v>
      </c>
      <c r="I227" s="6">
        <v>70</v>
      </c>
      <c r="J227" s="8">
        <v>42</v>
      </c>
      <c r="K227" s="6">
        <v>70</v>
      </c>
      <c r="L227" s="6">
        <v>70</v>
      </c>
      <c r="M227" s="6">
        <v>700</v>
      </c>
      <c r="N227" s="9" t="s">
        <v>42</v>
      </c>
      <c r="O227" s="9" t="s">
        <v>48</v>
      </c>
      <c r="P227" s="9" t="s">
        <v>41</v>
      </c>
      <c r="Q227" s="9" t="s">
        <v>905</v>
      </c>
      <c r="R227" s="9" t="s">
        <v>906</v>
      </c>
      <c r="S227" s="9" t="s">
        <v>907</v>
      </c>
      <c r="T227" s="9" t="s">
        <v>908</v>
      </c>
      <c r="U227" s="9" t="s">
        <v>39</v>
      </c>
      <c r="V227">
        <v>176574</v>
      </c>
      <c r="W227" s="1">
        <v>46190</v>
      </c>
      <c r="X227" s="9" t="s">
        <v>53</v>
      </c>
      <c r="Y227">
        <v>205338</v>
      </c>
      <c r="Z227" s="1">
        <v>46190</v>
      </c>
      <c r="AA227" s="1">
        <v>46190</v>
      </c>
      <c r="AB227" s="1">
        <v>46190</v>
      </c>
      <c r="AC227" s="1">
        <v>46190</v>
      </c>
      <c r="AD227" s="1">
        <v>46190</v>
      </c>
      <c r="AE227" s="1">
        <v>46190</v>
      </c>
      <c r="AF227" s="1">
        <v>46190</v>
      </c>
      <c r="AG227" s="1"/>
      <c r="AH227" s="1"/>
      <c r="AI227" s="1"/>
      <c r="AJ227" s="1"/>
      <c r="AK227" s="1"/>
      <c r="AL227" s="1"/>
      <c r="AM227" s="9" t="s">
        <v>619</v>
      </c>
      <c r="AN227" s="2">
        <f>+Pedidos_Pistachos[[#This Row],[CantidadPedida]]</f>
        <v>70</v>
      </c>
      <c r="AO227" s="2">
        <f>+Pedidos_Pistachos[[#This Row],[Cajas]]*2</f>
        <v>140</v>
      </c>
    </row>
    <row r="228" spans="1:41" x14ac:dyDescent="0.25">
      <c r="A228">
        <v>86632</v>
      </c>
      <c r="B228">
        <v>1</v>
      </c>
      <c r="C228" s="9" t="s">
        <v>40</v>
      </c>
      <c r="D228" s="9" t="s">
        <v>913</v>
      </c>
      <c r="E228" s="9" t="s">
        <v>126</v>
      </c>
      <c r="F228" s="9" t="s">
        <v>127</v>
      </c>
      <c r="G228" s="9" t="s">
        <v>46</v>
      </c>
      <c r="H228" s="9" t="s">
        <v>47</v>
      </c>
      <c r="I228" s="6">
        <v>40</v>
      </c>
      <c r="J228" s="8">
        <v>45</v>
      </c>
      <c r="K228" s="6">
        <v>40</v>
      </c>
      <c r="L228" s="6">
        <v>40</v>
      </c>
      <c r="M228" s="6">
        <v>400</v>
      </c>
      <c r="N228" s="9" t="s">
        <v>42</v>
      </c>
      <c r="O228" s="9" t="s">
        <v>48</v>
      </c>
      <c r="P228" s="9" t="s">
        <v>41</v>
      </c>
      <c r="Q228" s="9" t="s">
        <v>914</v>
      </c>
      <c r="R228" s="9" t="s">
        <v>915</v>
      </c>
      <c r="S228" s="9" t="s">
        <v>916</v>
      </c>
      <c r="T228" s="9" t="s">
        <v>917</v>
      </c>
      <c r="U228" s="9" t="s">
        <v>39</v>
      </c>
      <c r="V228">
        <v>177423</v>
      </c>
      <c r="W228" s="1">
        <v>46195</v>
      </c>
      <c r="X228" s="9" t="s">
        <v>53</v>
      </c>
      <c r="Y228">
        <v>203035</v>
      </c>
      <c r="Z228" s="1">
        <v>46174</v>
      </c>
      <c r="AA228" s="1">
        <v>46174</v>
      </c>
      <c r="AB228" s="1">
        <v>46195</v>
      </c>
      <c r="AC228" s="1">
        <v>46195</v>
      </c>
      <c r="AD228" s="1">
        <v>46195</v>
      </c>
      <c r="AE228" s="1">
        <v>46195</v>
      </c>
      <c r="AF228" s="1">
        <v>46195</v>
      </c>
      <c r="AG228" s="1"/>
      <c r="AH228" s="1"/>
      <c r="AI228" s="1"/>
      <c r="AJ228" s="1"/>
      <c r="AK228" s="1"/>
      <c r="AL228" s="1"/>
      <c r="AM228" s="9" t="s">
        <v>619</v>
      </c>
      <c r="AN228" s="2">
        <f>+Pedidos_Pistachos[[#This Row],[CantidadPedida]]</f>
        <v>40</v>
      </c>
      <c r="AO228" s="2">
        <f>+Pedidos_Pistachos[[#This Row],[Cajas]]*2</f>
        <v>80</v>
      </c>
    </row>
    <row r="229" spans="1:41" x14ac:dyDescent="0.25">
      <c r="A229">
        <v>87457</v>
      </c>
      <c r="B229">
        <v>1</v>
      </c>
      <c r="C229" s="9" t="s">
        <v>38</v>
      </c>
      <c r="D229" s="9" t="s">
        <v>111</v>
      </c>
      <c r="E229" s="9" t="s">
        <v>594</v>
      </c>
      <c r="F229" s="9" t="s">
        <v>595</v>
      </c>
      <c r="G229" s="9" t="s">
        <v>46</v>
      </c>
      <c r="H229" s="9" t="s">
        <v>47</v>
      </c>
      <c r="I229" s="6">
        <v>70</v>
      </c>
      <c r="J229" s="8">
        <v>15.436</v>
      </c>
      <c r="K229" s="6">
        <v>70</v>
      </c>
      <c r="L229" s="6">
        <v>70</v>
      </c>
      <c r="M229" s="6">
        <v>700</v>
      </c>
      <c r="N229" s="9" t="s">
        <v>42</v>
      </c>
      <c r="O229" s="9" t="s">
        <v>48</v>
      </c>
      <c r="P229" s="9" t="s">
        <v>802</v>
      </c>
      <c r="Q229" s="9" t="s">
        <v>954</v>
      </c>
      <c r="R229" s="9" t="s">
        <v>955</v>
      </c>
      <c r="S229" s="9" t="s">
        <v>956</v>
      </c>
      <c r="T229" s="9" t="s">
        <v>957</v>
      </c>
      <c r="U229" s="9" t="s">
        <v>39</v>
      </c>
      <c r="V229">
        <v>177797</v>
      </c>
      <c r="W229" s="1">
        <v>46198</v>
      </c>
      <c r="X229" s="9" t="s">
        <v>53</v>
      </c>
      <c r="Y229">
        <v>206719</v>
      </c>
      <c r="Z229" s="1">
        <v>46198</v>
      </c>
      <c r="AA229" s="1">
        <v>46198</v>
      </c>
      <c r="AB229" s="1">
        <v>46198</v>
      </c>
      <c r="AC229" s="1">
        <v>46198</v>
      </c>
      <c r="AD229" s="1">
        <v>46198</v>
      </c>
      <c r="AE229" s="1">
        <v>46198</v>
      </c>
      <c r="AF229" s="1">
        <v>46198</v>
      </c>
      <c r="AG229" s="1"/>
      <c r="AH229" s="1"/>
      <c r="AI229" s="1"/>
      <c r="AJ229" s="1"/>
      <c r="AK229" s="1"/>
      <c r="AL229" s="1"/>
      <c r="AM229" s="9" t="s">
        <v>619</v>
      </c>
      <c r="AN229" s="2">
        <f>+Pedidos_Pistachos[[#This Row],[CantidadPedida]]</f>
        <v>70</v>
      </c>
      <c r="AO229" s="2">
        <f>+Pedidos_Pistachos[[#This Row],[Cajas]]*2</f>
        <v>140</v>
      </c>
    </row>
    <row r="230" spans="1:41" x14ac:dyDescent="0.25">
      <c r="A230">
        <v>82767</v>
      </c>
      <c r="B230">
        <v>4</v>
      </c>
      <c r="C230" s="9" t="s">
        <v>40</v>
      </c>
      <c r="D230" s="9" t="s">
        <v>407</v>
      </c>
      <c r="E230" s="9" t="s">
        <v>44</v>
      </c>
      <c r="F230" s="9" t="s">
        <v>45</v>
      </c>
      <c r="G230" s="9" t="s">
        <v>46</v>
      </c>
      <c r="H230" s="9" t="s">
        <v>47</v>
      </c>
      <c r="I230" s="6">
        <v>420</v>
      </c>
      <c r="J230" s="8">
        <v>36.950000000000003</v>
      </c>
      <c r="K230" s="6">
        <v>420</v>
      </c>
      <c r="L230" s="6">
        <v>420</v>
      </c>
      <c r="M230" s="6">
        <v>4200</v>
      </c>
      <c r="N230" s="9" t="s">
        <v>42</v>
      </c>
      <c r="O230" s="9" t="s">
        <v>48</v>
      </c>
      <c r="P230" s="9" t="s">
        <v>41</v>
      </c>
      <c r="Q230" s="9" t="s">
        <v>958</v>
      </c>
      <c r="R230" s="9" t="s">
        <v>959</v>
      </c>
      <c r="S230" s="9" t="s">
        <v>960</v>
      </c>
      <c r="T230" s="9" t="s">
        <v>961</v>
      </c>
      <c r="U230" s="9" t="s">
        <v>39</v>
      </c>
      <c r="V230">
        <v>179045</v>
      </c>
      <c r="W230" s="1">
        <v>46210</v>
      </c>
      <c r="X230" s="9" t="s">
        <v>53</v>
      </c>
      <c r="Y230">
        <v>203034</v>
      </c>
      <c r="Z230" s="1">
        <v>46174</v>
      </c>
      <c r="AA230" s="1">
        <v>46174</v>
      </c>
      <c r="AB230" s="1">
        <v>46210</v>
      </c>
      <c r="AC230" s="1">
        <v>46210</v>
      </c>
      <c r="AD230" s="1">
        <v>46210</v>
      </c>
      <c r="AE230" s="1">
        <v>46210</v>
      </c>
      <c r="AF230" s="1">
        <v>46210</v>
      </c>
      <c r="AG230" s="1"/>
      <c r="AH230" s="1"/>
      <c r="AI230" s="1"/>
      <c r="AJ230" s="1"/>
      <c r="AK230" s="1"/>
      <c r="AL230" s="1"/>
      <c r="AM230" s="9" t="s">
        <v>619</v>
      </c>
      <c r="AN230" s="2">
        <f>+Pedidos_Pistachos[[#This Row],[CantidadPedida]]</f>
        <v>420</v>
      </c>
      <c r="AO230" s="2">
        <f>+Pedidos_Pistachos[[#This Row],[Cajas]]*2</f>
        <v>840</v>
      </c>
    </row>
    <row r="231" spans="1:41" x14ac:dyDescent="0.25">
      <c r="A231">
        <v>87924</v>
      </c>
      <c r="B231">
        <v>1</v>
      </c>
      <c r="C231" s="9" t="s">
        <v>38</v>
      </c>
      <c r="D231" s="9" t="s">
        <v>368</v>
      </c>
      <c r="E231" s="9" t="s">
        <v>594</v>
      </c>
      <c r="F231" s="9" t="s">
        <v>595</v>
      </c>
      <c r="G231" s="9" t="s">
        <v>46</v>
      </c>
      <c r="H231" s="9" t="s">
        <v>47</v>
      </c>
      <c r="I231" s="6">
        <v>50</v>
      </c>
      <c r="J231" s="8">
        <v>15.23</v>
      </c>
      <c r="K231" s="6">
        <v>50</v>
      </c>
      <c r="L231" s="6">
        <v>50</v>
      </c>
      <c r="M231" s="6">
        <v>500</v>
      </c>
      <c r="N231" s="9" t="s">
        <v>42</v>
      </c>
      <c r="O231" s="9" t="s">
        <v>48</v>
      </c>
      <c r="P231" s="9" t="s">
        <v>802</v>
      </c>
      <c r="Q231" s="9" t="s">
        <v>966</v>
      </c>
      <c r="R231" s="9" t="s">
        <v>967</v>
      </c>
      <c r="S231" s="9" t="s">
        <v>968</v>
      </c>
      <c r="T231" s="9" t="s">
        <v>969</v>
      </c>
      <c r="U231" s="9" t="s">
        <v>39</v>
      </c>
      <c r="V231">
        <v>179482</v>
      </c>
      <c r="W231" s="1">
        <v>46216</v>
      </c>
      <c r="X231" s="9" t="s">
        <v>53</v>
      </c>
      <c r="Y231">
        <v>208629</v>
      </c>
      <c r="Z231" s="1">
        <v>46216</v>
      </c>
      <c r="AA231" s="1">
        <v>46216</v>
      </c>
      <c r="AB231" s="1">
        <v>46216</v>
      </c>
      <c r="AC231" s="1">
        <v>46216</v>
      </c>
      <c r="AD231" s="1">
        <v>46216</v>
      </c>
      <c r="AE231" s="1">
        <v>46216</v>
      </c>
      <c r="AF231" s="1">
        <v>46216</v>
      </c>
      <c r="AG231" s="1"/>
      <c r="AH231" s="1"/>
      <c r="AI231" s="1"/>
      <c r="AJ231" s="1"/>
      <c r="AK231" s="1"/>
      <c r="AL231" s="1"/>
      <c r="AM231" s="9" t="s">
        <v>619</v>
      </c>
      <c r="AN231" s="2">
        <f>+Pedidos_Pistachos[[#This Row],[CantidadPedida]]</f>
        <v>50</v>
      </c>
      <c r="AO231" s="2">
        <f>+Pedidos_Pistachos[[#This Row],[Cajas]]*2</f>
        <v>100</v>
      </c>
    </row>
    <row r="232" spans="1:41" x14ac:dyDescent="0.25">
      <c r="A232">
        <v>88023</v>
      </c>
      <c r="B232">
        <v>1</v>
      </c>
      <c r="C232" s="9" t="s">
        <v>38</v>
      </c>
      <c r="D232" s="9" t="s">
        <v>86</v>
      </c>
      <c r="E232" s="9" t="s">
        <v>594</v>
      </c>
      <c r="F232" s="9" t="s">
        <v>595</v>
      </c>
      <c r="G232" s="9" t="s">
        <v>46</v>
      </c>
      <c r="H232" s="9" t="s">
        <v>47</v>
      </c>
      <c r="I232" s="6">
        <v>20</v>
      </c>
      <c r="J232" s="8">
        <v>15.384</v>
      </c>
      <c r="K232" s="6">
        <v>20</v>
      </c>
      <c r="L232" s="6">
        <v>20</v>
      </c>
      <c r="M232" s="6">
        <v>200</v>
      </c>
      <c r="N232" s="9" t="s">
        <v>42</v>
      </c>
      <c r="O232" s="9" t="s">
        <v>48</v>
      </c>
      <c r="P232" s="9" t="s">
        <v>802</v>
      </c>
      <c r="Q232" s="9" t="s">
        <v>962</v>
      </c>
      <c r="R232" s="9" t="s">
        <v>963</v>
      </c>
      <c r="S232" s="9" t="s">
        <v>964</v>
      </c>
      <c r="T232" s="9" t="s">
        <v>965</v>
      </c>
      <c r="U232" s="9" t="s">
        <v>39</v>
      </c>
      <c r="V232">
        <v>179769</v>
      </c>
      <c r="W232" s="1">
        <v>46218</v>
      </c>
      <c r="X232" s="9" t="s">
        <v>53</v>
      </c>
      <c r="Y232">
        <v>208994</v>
      </c>
      <c r="Z232" s="1">
        <v>46218</v>
      </c>
      <c r="AA232" s="1">
        <v>46218</v>
      </c>
      <c r="AB232" s="1">
        <v>46218</v>
      </c>
      <c r="AC232" s="1">
        <v>46218</v>
      </c>
      <c r="AD232" s="1">
        <v>46218</v>
      </c>
      <c r="AE232" s="1">
        <v>46218</v>
      </c>
      <c r="AF232" s="1">
        <v>46218</v>
      </c>
      <c r="AG232" s="1"/>
      <c r="AH232" s="1"/>
      <c r="AI232" s="1"/>
      <c r="AJ232" s="1"/>
      <c r="AK232" s="1"/>
      <c r="AL232" s="1"/>
      <c r="AM232" s="9" t="s">
        <v>619</v>
      </c>
      <c r="AN232" s="2">
        <f>+Pedidos_Pistachos[[#This Row],[CantidadPedida]]</f>
        <v>20</v>
      </c>
      <c r="AO232" s="2">
        <f>+Pedidos_Pistachos[[#This Row],[Cajas]]*2</f>
        <v>40</v>
      </c>
    </row>
    <row r="233" spans="1:41" x14ac:dyDescent="0.25">
      <c r="A233">
        <v>88363</v>
      </c>
      <c r="B233">
        <v>1</v>
      </c>
      <c r="C233" s="9" t="s">
        <v>38</v>
      </c>
      <c r="D233" s="9" t="s">
        <v>111</v>
      </c>
      <c r="E233" s="9" t="s">
        <v>594</v>
      </c>
      <c r="F233" s="9" t="s">
        <v>595</v>
      </c>
      <c r="G233" s="9" t="s">
        <v>46</v>
      </c>
      <c r="H233" s="9" t="s">
        <v>47</v>
      </c>
      <c r="I233" s="6">
        <v>70</v>
      </c>
      <c r="J233" s="8">
        <v>14.33</v>
      </c>
      <c r="K233" s="6">
        <v>70</v>
      </c>
      <c r="L233" s="6">
        <v>70</v>
      </c>
      <c r="M233" s="6">
        <v>700</v>
      </c>
      <c r="N233" s="9" t="s">
        <v>42</v>
      </c>
      <c r="O233" s="9" t="s">
        <v>48</v>
      </c>
      <c r="P233" s="9" t="s">
        <v>802</v>
      </c>
      <c r="Q233" s="9" t="s">
        <v>970</v>
      </c>
      <c r="R233" s="9" t="s">
        <v>971</v>
      </c>
      <c r="S233" s="9" t="s">
        <v>972</v>
      </c>
      <c r="T233" s="9" t="s">
        <v>973</v>
      </c>
      <c r="U233" s="9" t="s">
        <v>39</v>
      </c>
      <c r="V233">
        <v>181060</v>
      </c>
      <c r="W233" s="1">
        <v>46231</v>
      </c>
      <c r="X233" s="9" t="s">
        <v>53</v>
      </c>
      <c r="Y233">
        <v>210624</v>
      </c>
      <c r="Z233" s="1">
        <v>46231</v>
      </c>
      <c r="AA233" s="1">
        <v>46231</v>
      </c>
      <c r="AB233" s="1">
        <v>46231</v>
      </c>
      <c r="AC233" s="1">
        <v>46231</v>
      </c>
      <c r="AD233" s="1">
        <v>46231</v>
      </c>
      <c r="AE233" s="1">
        <v>46231</v>
      </c>
      <c r="AF233" s="1">
        <v>46231</v>
      </c>
      <c r="AG233" s="1"/>
      <c r="AH233" s="1"/>
      <c r="AI233" s="1"/>
      <c r="AJ233" s="1"/>
      <c r="AK233" s="1"/>
      <c r="AL233" s="1"/>
      <c r="AM233" s="9" t="s">
        <v>619</v>
      </c>
      <c r="AN233" s="2">
        <f>+Pedidos_Pistachos[[#This Row],[CantidadPedida]]</f>
        <v>70</v>
      </c>
      <c r="AO233" s="2">
        <f>+Pedidos_Pistachos[[#This Row],[Cajas]]*2</f>
        <v>140</v>
      </c>
    </row>
    <row r="234" spans="1:41" x14ac:dyDescent="0.25">
      <c r="A234">
        <v>84752</v>
      </c>
      <c r="B234">
        <v>2</v>
      </c>
      <c r="C234" s="9" t="s">
        <v>38</v>
      </c>
      <c r="D234" s="9" t="s">
        <v>886</v>
      </c>
      <c r="E234" s="9" t="s">
        <v>594</v>
      </c>
      <c r="F234" s="9" t="s">
        <v>595</v>
      </c>
      <c r="G234" s="9" t="s">
        <v>46</v>
      </c>
      <c r="H234" s="9" t="s">
        <v>47</v>
      </c>
      <c r="I234" s="6">
        <v>360</v>
      </c>
      <c r="J234" s="8">
        <v>16.486999999999998</v>
      </c>
      <c r="K234" s="6">
        <v>0</v>
      </c>
      <c r="L234" s="6">
        <v>0</v>
      </c>
      <c r="M234" s="6">
        <v>0</v>
      </c>
      <c r="N234" s="9" t="s">
        <v>25</v>
      </c>
      <c r="O234" s="9" t="s">
        <v>904</v>
      </c>
      <c r="P234" s="9"/>
      <c r="Q234" s="9"/>
      <c r="R234" s="9"/>
      <c r="S234" s="9"/>
      <c r="T234" s="9"/>
      <c r="U234" s="9"/>
      <c r="W234" s="1"/>
      <c r="X234" s="9" t="s">
        <v>53</v>
      </c>
      <c r="Y234">
        <v>194140</v>
      </c>
      <c r="Z234" s="1">
        <v>46125</v>
      </c>
      <c r="AA234" s="1">
        <v>46129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9" t="s">
        <v>619</v>
      </c>
      <c r="AN234" s="2">
        <f>+Pedidos_Pistachos[[#This Row],[CantidadPedida]]</f>
        <v>360</v>
      </c>
      <c r="AO234" s="2">
        <f>+Pedidos_Pistachos[[#This Row],[Cajas]]*2</f>
        <v>720</v>
      </c>
    </row>
    <row r="235" spans="1:41" x14ac:dyDescent="0.25">
      <c r="A235">
        <v>84119</v>
      </c>
      <c r="B235">
        <v>1</v>
      </c>
      <c r="C235" s="9" t="s">
        <v>40</v>
      </c>
      <c r="D235" s="9" t="s">
        <v>167</v>
      </c>
      <c r="E235" s="9" t="s">
        <v>44</v>
      </c>
      <c r="F235" s="9" t="s">
        <v>45</v>
      </c>
      <c r="G235" s="9" t="s">
        <v>46</v>
      </c>
      <c r="H235" s="9" t="s">
        <v>47</v>
      </c>
      <c r="I235" s="6">
        <v>4060</v>
      </c>
      <c r="J235" s="8">
        <v>37</v>
      </c>
      <c r="K235" s="6">
        <v>0</v>
      </c>
      <c r="L235" s="6">
        <v>0</v>
      </c>
      <c r="M235" s="6">
        <v>0</v>
      </c>
      <c r="N235" s="9" t="s">
        <v>25</v>
      </c>
      <c r="O235" s="9" t="s">
        <v>48</v>
      </c>
      <c r="P235" s="9"/>
      <c r="Q235" s="9"/>
      <c r="R235" s="9"/>
      <c r="S235" s="9"/>
      <c r="T235" s="9"/>
      <c r="U235" s="9"/>
      <c r="W235" s="1"/>
      <c r="X235" s="9" t="s">
        <v>53</v>
      </c>
      <c r="Y235">
        <v>190972</v>
      </c>
      <c r="Z235" s="1">
        <v>46101</v>
      </c>
      <c r="AA235" s="1">
        <v>46101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9" t="s">
        <v>619</v>
      </c>
      <c r="AN235" s="2">
        <f>+Pedidos_Pistachos[[#This Row],[CantidadPedida]]</f>
        <v>4060</v>
      </c>
      <c r="AO235" s="2">
        <f>+Pedidos_Pistachos[[#This Row],[Cajas]]*2</f>
        <v>8120</v>
      </c>
    </row>
    <row r="236" spans="1:41" x14ac:dyDescent="0.25">
      <c r="A236">
        <v>83629</v>
      </c>
      <c r="B236">
        <v>2</v>
      </c>
      <c r="C236" s="9" t="s">
        <v>38</v>
      </c>
      <c r="D236" s="9" t="s">
        <v>368</v>
      </c>
      <c r="E236" s="9" t="s">
        <v>594</v>
      </c>
      <c r="F236" s="9" t="s">
        <v>595</v>
      </c>
      <c r="G236" s="9" t="s">
        <v>46</v>
      </c>
      <c r="H236" s="9" t="s">
        <v>47</v>
      </c>
      <c r="I236" s="6">
        <v>630</v>
      </c>
      <c r="J236" s="8">
        <v>16.027000000000001</v>
      </c>
      <c r="K236" s="6">
        <v>0</v>
      </c>
      <c r="L236" s="6">
        <v>0</v>
      </c>
      <c r="M236" s="6">
        <v>0</v>
      </c>
      <c r="N236" s="9" t="s">
        <v>25</v>
      </c>
      <c r="O236" s="9" t="s">
        <v>904</v>
      </c>
      <c r="P236" s="9"/>
      <c r="Q236" s="9"/>
      <c r="R236" s="9"/>
      <c r="S236" s="9"/>
      <c r="T236" s="9"/>
      <c r="U236" s="9"/>
      <c r="W236" s="1"/>
      <c r="X236" s="9" t="s">
        <v>53</v>
      </c>
      <c r="Y236">
        <v>188692</v>
      </c>
      <c r="Z236" s="1">
        <v>46090</v>
      </c>
      <c r="AA236" s="1">
        <v>46101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9" t="s">
        <v>619</v>
      </c>
      <c r="AN236" s="2">
        <f>+Pedidos_Pistachos[[#This Row],[CantidadPedida]]</f>
        <v>630</v>
      </c>
      <c r="AO236" s="2">
        <f>+Pedidos_Pistachos[[#This Row],[Cajas]]*2</f>
        <v>1260</v>
      </c>
    </row>
    <row r="237" spans="1:41" x14ac:dyDescent="0.25">
      <c r="A237">
        <v>83628</v>
      </c>
      <c r="B237">
        <v>2</v>
      </c>
      <c r="C237" s="9" t="s">
        <v>38</v>
      </c>
      <c r="D237" s="9" t="s">
        <v>106</v>
      </c>
      <c r="E237" s="9" t="s">
        <v>594</v>
      </c>
      <c r="F237" s="9" t="s">
        <v>595</v>
      </c>
      <c r="G237" s="9" t="s">
        <v>46</v>
      </c>
      <c r="H237" s="9" t="s">
        <v>47</v>
      </c>
      <c r="I237" s="6">
        <v>315</v>
      </c>
      <c r="J237" s="8">
        <v>16.027000000000001</v>
      </c>
      <c r="K237" s="6">
        <v>0</v>
      </c>
      <c r="L237" s="6">
        <v>0</v>
      </c>
      <c r="M237" s="6">
        <v>0</v>
      </c>
      <c r="N237" s="9" t="s">
        <v>25</v>
      </c>
      <c r="O237" s="9" t="s">
        <v>904</v>
      </c>
      <c r="P237" s="9"/>
      <c r="Q237" s="9"/>
      <c r="R237" s="9"/>
      <c r="S237" s="9"/>
      <c r="T237" s="9"/>
      <c r="U237" s="9"/>
      <c r="W237" s="1"/>
      <c r="X237" s="9" t="s">
        <v>53</v>
      </c>
      <c r="Y237">
        <v>188694</v>
      </c>
      <c r="Z237" s="1">
        <v>46090</v>
      </c>
      <c r="AA237" s="1">
        <v>46101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9" t="s">
        <v>619</v>
      </c>
      <c r="AN237" s="2">
        <f>+Pedidos_Pistachos[[#This Row],[CantidadPedida]]</f>
        <v>315</v>
      </c>
      <c r="AO237" s="2">
        <f>+Pedidos_Pistachos[[#This Row],[Cajas]]*2</f>
        <v>630</v>
      </c>
    </row>
    <row r="238" spans="1:41" x14ac:dyDescent="0.25">
      <c r="A238">
        <v>83627</v>
      </c>
      <c r="B238">
        <v>2</v>
      </c>
      <c r="C238" s="9" t="s">
        <v>40</v>
      </c>
      <c r="D238" s="9" t="s">
        <v>106</v>
      </c>
      <c r="E238" s="9" t="s">
        <v>594</v>
      </c>
      <c r="F238" s="9" t="s">
        <v>595</v>
      </c>
      <c r="G238" s="9" t="s">
        <v>46</v>
      </c>
      <c r="H238" s="9" t="s">
        <v>47</v>
      </c>
      <c r="I238" s="6">
        <v>315</v>
      </c>
      <c r="J238" s="8">
        <v>19.39</v>
      </c>
      <c r="K238" s="6">
        <v>0</v>
      </c>
      <c r="L238" s="6">
        <v>0</v>
      </c>
      <c r="M238" s="6">
        <v>0</v>
      </c>
      <c r="N238" s="9" t="s">
        <v>25</v>
      </c>
      <c r="O238" s="9" t="s">
        <v>904</v>
      </c>
      <c r="P238" s="9"/>
      <c r="Q238" s="9"/>
      <c r="R238" s="9"/>
      <c r="S238" s="9"/>
      <c r="T238" s="9"/>
      <c r="U238" s="9"/>
      <c r="W238" s="1"/>
      <c r="X238" s="9" t="s">
        <v>53</v>
      </c>
      <c r="Y238">
        <v>188695</v>
      </c>
      <c r="Z238" s="1">
        <v>46090</v>
      </c>
      <c r="AA238" s="1">
        <v>46101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9" t="s">
        <v>619</v>
      </c>
      <c r="AN238" s="2">
        <f>+Pedidos_Pistachos[[#This Row],[CantidadPedida]]</f>
        <v>315</v>
      </c>
      <c r="AO238" s="2">
        <f>+Pedidos_Pistachos[[#This Row],[Cajas]]*2</f>
        <v>630</v>
      </c>
    </row>
    <row r="239" spans="1:41" x14ac:dyDescent="0.25">
      <c r="A239">
        <v>82767</v>
      </c>
      <c r="B239">
        <v>5</v>
      </c>
      <c r="C239" s="9" t="s">
        <v>40</v>
      </c>
      <c r="D239" s="9" t="s">
        <v>407</v>
      </c>
      <c r="E239" s="9" t="s">
        <v>44</v>
      </c>
      <c r="F239" s="9" t="s">
        <v>45</v>
      </c>
      <c r="G239" s="9" t="s">
        <v>46</v>
      </c>
      <c r="H239" s="9" t="s">
        <v>47</v>
      </c>
      <c r="I239" s="6">
        <v>3150</v>
      </c>
      <c r="J239" s="8">
        <v>36.950000000000003</v>
      </c>
      <c r="K239" s="6">
        <v>0</v>
      </c>
      <c r="L239" s="6">
        <v>0</v>
      </c>
      <c r="M239" s="6">
        <v>0</v>
      </c>
      <c r="N239" s="9" t="s">
        <v>25</v>
      </c>
      <c r="O239" s="9" t="s">
        <v>48</v>
      </c>
      <c r="P239" s="9"/>
      <c r="Q239" s="9"/>
      <c r="R239" s="9"/>
      <c r="S239" s="9"/>
      <c r="T239" s="9"/>
      <c r="U239" s="9"/>
      <c r="W239" s="1"/>
      <c r="X239" s="9" t="s">
        <v>53</v>
      </c>
      <c r="Y239">
        <v>208165</v>
      </c>
      <c r="Z239" s="1">
        <v>46210</v>
      </c>
      <c r="AA239" s="1">
        <v>46210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9" t="s">
        <v>619</v>
      </c>
      <c r="AN239" s="2">
        <f>+Pedidos_Pistachos[[#This Row],[CantidadPedida]]</f>
        <v>3150</v>
      </c>
      <c r="AO239" s="2">
        <f>+Pedidos_Pistachos[[#This Row],[Cajas]]*2</f>
        <v>6300</v>
      </c>
    </row>
    <row r="240" spans="1:41" x14ac:dyDescent="0.25">
      <c r="A240">
        <v>79263</v>
      </c>
      <c r="B240">
        <v>1</v>
      </c>
      <c r="C240" s="9" t="s">
        <v>40</v>
      </c>
      <c r="D240" s="9" t="s">
        <v>513</v>
      </c>
      <c r="E240" s="9" t="s">
        <v>624</v>
      </c>
      <c r="F240" s="9" t="s">
        <v>620</v>
      </c>
      <c r="G240" s="9" t="s">
        <v>46</v>
      </c>
      <c r="H240" s="9" t="s">
        <v>47</v>
      </c>
      <c r="I240" s="6">
        <v>0</v>
      </c>
      <c r="J240" s="8">
        <v>37</v>
      </c>
      <c r="K240" s="6">
        <v>0</v>
      </c>
      <c r="L240" s="6">
        <v>0</v>
      </c>
      <c r="M240" s="6">
        <v>0</v>
      </c>
      <c r="N240" s="9" t="s">
        <v>37</v>
      </c>
      <c r="O240" s="9" t="s">
        <v>48</v>
      </c>
      <c r="P240" s="9"/>
      <c r="Q240" s="9"/>
      <c r="R240" s="9"/>
      <c r="S240" s="9"/>
      <c r="T240" s="9"/>
      <c r="U240" s="9"/>
      <c r="W240" s="1"/>
      <c r="X240" s="9" t="s">
        <v>53</v>
      </c>
      <c r="Y240">
        <v>163365</v>
      </c>
      <c r="Z240" s="1">
        <v>45929</v>
      </c>
      <c r="AA240" s="1">
        <v>45929</v>
      </c>
      <c r="AB240" s="1">
        <v>45929</v>
      </c>
      <c r="AC240" s="1"/>
      <c r="AD240" s="1"/>
      <c r="AE240" s="1"/>
      <c r="AF240" s="1"/>
      <c r="AG240" s="1"/>
      <c r="AH240" s="1"/>
      <c r="AI240" s="1"/>
      <c r="AJ240" s="1"/>
      <c r="AK240" s="1"/>
      <c r="AL240" s="1">
        <v>45931</v>
      </c>
      <c r="AM240" s="9" t="s">
        <v>619</v>
      </c>
      <c r="AN240" s="2">
        <f>+Pedidos_Pistachos[[#This Row],[CantidadPedida]]</f>
        <v>0</v>
      </c>
      <c r="AO240" s="2">
        <f>+Pedidos_Pistachos[[#This Row],[Cajas]]*2</f>
        <v>0</v>
      </c>
    </row>
    <row r="241" spans="1:41" x14ac:dyDescent="0.25">
      <c r="A241">
        <v>77870</v>
      </c>
      <c r="B241">
        <v>2</v>
      </c>
      <c r="C241" s="9" t="s">
        <v>40</v>
      </c>
      <c r="D241" s="9" t="s">
        <v>132</v>
      </c>
      <c r="E241" s="9" t="s">
        <v>44</v>
      </c>
      <c r="F241" s="9" t="s">
        <v>45</v>
      </c>
      <c r="G241" s="9" t="s">
        <v>46</v>
      </c>
      <c r="H241" s="9" t="s">
        <v>47</v>
      </c>
      <c r="I241" s="6">
        <v>420</v>
      </c>
      <c r="J241" s="8">
        <v>37</v>
      </c>
      <c r="K241" s="6">
        <v>0</v>
      </c>
      <c r="L241" s="6">
        <v>0</v>
      </c>
      <c r="M241" s="6">
        <v>0</v>
      </c>
      <c r="N241" s="9" t="s">
        <v>25</v>
      </c>
      <c r="O241" s="9" t="s">
        <v>844</v>
      </c>
      <c r="P241" s="9"/>
      <c r="Q241" s="9"/>
      <c r="R241" s="9"/>
      <c r="S241" s="9"/>
      <c r="T241" s="9"/>
      <c r="U241" s="9"/>
      <c r="W241" s="1"/>
      <c r="X241" s="9" t="s">
        <v>53</v>
      </c>
      <c r="Y241">
        <v>155630</v>
      </c>
      <c r="Z241" s="1">
        <v>45884</v>
      </c>
      <c r="AA241" s="1">
        <v>46058</v>
      </c>
      <c r="AB241" s="1">
        <v>45966</v>
      </c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9" t="s">
        <v>619</v>
      </c>
      <c r="AN241" s="2">
        <f>+Pedidos_Pistachos[[#This Row],[CantidadPedida]]</f>
        <v>420</v>
      </c>
      <c r="AO241" s="2">
        <f>+Pedidos_Pistachos[[#This Row],[Cajas]]*2</f>
        <v>840</v>
      </c>
    </row>
    <row r="242" spans="1:41" x14ac:dyDescent="0.25">
      <c r="I242" s="6">
        <f>SUBTOTAL(109,Pedidos_Pistachos[CantidadPedida])</f>
        <v>42215</v>
      </c>
      <c r="K242" s="6">
        <f>SUBTOTAL(109,Pedidos_Pistachos[CantidadPreparada])</f>
        <v>32965</v>
      </c>
      <c r="L242" s="6">
        <f>SUBTOTAL(109,Pedidos_Pistachos[CantidadRomaneada])</f>
        <v>32965</v>
      </c>
      <c r="M242" s="6">
        <f>SUBTOTAL(109,Pedidos_Pistachos[KgMtPreparados])</f>
        <v>329950</v>
      </c>
      <c r="W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D4DD-8786-4079-AB69-7E4C85E77CC9}">
  <dimension ref="A1:C146"/>
  <sheetViews>
    <sheetView workbookViewId="0">
      <selection activeCell="A5" sqref="A5"/>
    </sheetView>
  </sheetViews>
  <sheetFormatPr baseColWidth="10" defaultRowHeight="15" x14ac:dyDescent="0.25"/>
  <cols>
    <col min="1" max="1" width="44.85546875" bestFit="1" customWidth="1"/>
    <col min="2" max="2" width="31" bestFit="1" customWidth="1"/>
    <col min="3" max="3" width="23.7109375" bestFit="1" customWidth="1"/>
  </cols>
  <sheetData>
    <row r="1" spans="1:3" x14ac:dyDescent="0.25">
      <c r="A1" s="3" t="s">
        <v>13</v>
      </c>
      <c r="B1" t="s">
        <v>42</v>
      </c>
    </row>
    <row r="3" spans="1:3" x14ac:dyDescent="0.25">
      <c r="A3" s="3" t="s">
        <v>683</v>
      </c>
      <c r="B3" s="3" t="s">
        <v>5</v>
      </c>
      <c r="C3" t="s">
        <v>685</v>
      </c>
    </row>
    <row r="4" spans="1:3" x14ac:dyDescent="0.25">
      <c r="A4" t="s">
        <v>132</v>
      </c>
      <c r="B4" t="s">
        <v>56</v>
      </c>
      <c r="C4" s="9">
        <v>350</v>
      </c>
    </row>
    <row r="5" spans="1:3" x14ac:dyDescent="0.25">
      <c r="B5" t="s">
        <v>45</v>
      </c>
      <c r="C5" s="9">
        <v>210</v>
      </c>
    </row>
    <row r="6" spans="1:3" x14ac:dyDescent="0.25">
      <c r="B6" t="s">
        <v>62</v>
      </c>
      <c r="C6" s="9">
        <v>70</v>
      </c>
    </row>
    <row r="7" spans="1:3" x14ac:dyDescent="0.25">
      <c r="A7" t="s">
        <v>121</v>
      </c>
      <c r="B7" t="s">
        <v>62</v>
      </c>
      <c r="C7" s="9">
        <v>280</v>
      </c>
    </row>
    <row r="8" spans="1:3" x14ac:dyDescent="0.25">
      <c r="A8" t="s">
        <v>508</v>
      </c>
      <c r="B8" t="s">
        <v>62</v>
      </c>
      <c r="C8" s="9">
        <v>70</v>
      </c>
    </row>
    <row r="9" spans="1:3" x14ac:dyDescent="0.25">
      <c r="A9" t="s">
        <v>189</v>
      </c>
      <c r="B9" t="s">
        <v>56</v>
      </c>
      <c r="C9" s="9">
        <v>65</v>
      </c>
    </row>
    <row r="10" spans="1:3" x14ac:dyDescent="0.25">
      <c r="B10" t="s">
        <v>62</v>
      </c>
      <c r="C10" s="9">
        <v>70</v>
      </c>
    </row>
    <row r="11" spans="1:3" x14ac:dyDescent="0.25">
      <c r="B11" t="s">
        <v>219</v>
      </c>
      <c r="C11" s="9">
        <v>20</v>
      </c>
    </row>
    <row r="12" spans="1:3" x14ac:dyDescent="0.25">
      <c r="A12" t="s">
        <v>503</v>
      </c>
      <c r="B12" t="s">
        <v>62</v>
      </c>
      <c r="C12" s="9">
        <v>70</v>
      </c>
    </row>
    <row r="13" spans="1:3" x14ac:dyDescent="0.25">
      <c r="A13" t="s">
        <v>199</v>
      </c>
      <c r="B13" t="s">
        <v>595</v>
      </c>
      <c r="C13" s="9">
        <v>70</v>
      </c>
    </row>
    <row r="14" spans="1:3" x14ac:dyDescent="0.25">
      <c r="B14" t="s">
        <v>56</v>
      </c>
      <c r="C14" s="9">
        <v>210</v>
      </c>
    </row>
    <row r="15" spans="1:3" x14ac:dyDescent="0.25">
      <c r="B15" t="s">
        <v>127</v>
      </c>
      <c r="C15" s="9">
        <v>70</v>
      </c>
    </row>
    <row r="16" spans="1:3" x14ac:dyDescent="0.25">
      <c r="B16" t="s">
        <v>62</v>
      </c>
      <c r="C16" s="9">
        <v>770</v>
      </c>
    </row>
    <row r="17" spans="1:3" x14ac:dyDescent="0.25">
      <c r="A17" t="s">
        <v>75</v>
      </c>
      <c r="B17" t="s">
        <v>56</v>
      </c>
      <c r="C17" s="9">
        <v>140</v>
      </c>
    </row>
    <row r="18" spans="1:3" x14ac:dyDescent="0.25">
      <c r="B18" t="s">
        <v>62</v>
      </c>
      <c r="C18" s="9">
        <v>140</v>
      </c>
    </row>
    <row r="19" spans="1:3" x14ac:dyDescent="0.25">
      <c r="A19" t="s">
        <v>295</v>
      </c>
      <c r="B19" t="s">
        <v>62</v>
      </c>
      <c r="C19" s="9">
        <v>70</v>
      </c>
    </row>
    <row r="20" spans="1:3" x14ac:dyDescent="0.25">
      <c r="A20" t="s">
        <v>498</v>
      </c>
      <c r="B20" t="s">
        <v>62</v>
      </c>
      <c r="C20" s="9">
        <v>70</v>
      </c>
    </row>
    <row r="21" spans="1:3" x14ac:dyDescent="0.25">
      <c r="A21" t="s">
        <v>116</v>
      </c>
      <c r="B21" t="s">
        <v>62</v>
      </c>
      <c r="C21" s="9">
        <v>70</v>
      </c>
    </row>
    <row r="22" spans="1:3" x14ac:dyDescent="0.25">
      <c r="A22" t="s">
        <v>96</v>
      </c>
      <c r="B22" t="s">
        <v>56</v>
      </c>
      <c r="C22" s="9">
        <v>490</v>
      </c>
    </row>
    <row r="23" spans="1:3" x14ac:dyDescent="0.25">
      <c r="B23" t="s">
        <v>45</v>
      </c>
      <c r="C23" s="9">
        <v>420</v>
      </c>
    </row>
    <row r="24" spans="1:3" x14ac:dyDescent="0.25">
      <c r="A24" t="s">
        <v>607</v>
      </c>
      <c r="B24" t="s">
        <v>45</v>
      </c>
      <c r="C24" s="9">
        <v>140</v>
      </c>
    </row>
    <row r="25" spans="1:3" x14ac:dyDescent="0.25">
      <c r="A25" t="s">
        <v>204</v>
      </c>
      <c r="B25" t="s">
        <v>595</v>
      </c>
      <c r="C25" s="9">
        <v>70</v>
      </c>
    </row>
    <row r="26" spans="1:3" x14ac:dyDescent="0.25">
      <c r="B26" t="s">
        <v>62</v>
      </c>
      <c r="C26" s="9">
        <v>260</v>
      </c>
    </row>
    <row r="27" spans="1:3" x14ac:dyDescent="0.25">
      <c r="A27" t="s">
        <v>282</v>
      </c>
      <c r="B27" t="s">
        <v>595</v>
      </c>
      <c r="C27" s="9">
        <v>30</v>
      </c>
    </row>
    <row r="28" spans="1:3" x14ac:dyDescent="0.25">
      <c r="B28" t="s">
        <v>62</v>
      </c>
      <c r="C28" s="9">
        <v>140</v>
      </c>
    </row>
    <row r="29" spans="1:3" x14ac:dyDescent="0.25">
      <c r="A29" t="s">
        <v>80</v>
      </c>
      <c r="B29" t="s">
        <v>62</v>
      </c>
      <c r="C29" s="9">
        <v>140</v>
      </c>
    </row>
    <row r="30" spans="1:3" x14ac:dyDescent="0.25">
      <c r="A30" t="s">
        <v>604</v>
      </c>
      <c r="B30" t="s">
        <v>606</v>
      </c>
      <c r="C30" s="9">
        <v>70</v>
      </c>
    </row>
    <row r="31" spans="1:3" x14ac:dyDescent="0.25">
      <c r="A31" t="s">
        <v>581</v>
      </c>
      <c r="B31" t="s">
        <v>56</v>
      </c>
      <c r="C31" s="9">
        <v>30</v>
      </c>
    </row>
    <row r="32" spans="1:3" x14ac:dyDescent="0.25">
      <c r="A32" t="s">
        <v>493</v>
      </c>
      <c r="B32" t="s">
        <v>62</v>
      </c>
      <c r="C32" s="9">
        <v>140</v>
      </c>
    </row>
    <row r="33" spans="1:3" x14ac:dyDescent="0.25">
      <c r="A33" t="s">
        <v>157</v>
      </c>
      <c r="B33" t="s">
        <v>62</v>
      </c>
      <c r="C33" s="9">
        <v>70</v>
      </c>
    </row>
    <row r="34" spans="1:3" x14ac:dyDescent="0.25">
      <c r="A34" t="s">
        <v>316</v>
      </c>
      <c r="B34" t="s">
        <v>595</v>
      </c>
      <c r="C34" s="9">
        <v>70</v>
      </c>
    </row>
    <row r="35" spans="1:3" x14ac:dyDescent="0.25">
      <c r="B35" t="s">
        <v>56</v>
      </c>
      <c r="C35" s="9">
        <v>50</v>
      </c>
    </row>
    <row r="36" spans="1:3" x14ac:dyDescent="0.25">
      <c r="B36" t="s">
        <v>62</v>
      </c>
      <c r="C36" s="9">
        <v>210</v>
      </c>
    </row>
    <row r="37" spans="1:3" x14ac:dyDescent="0.25">
      <c r="A37" t="s">
        <v>597</v>
      </c>
      <c r="B37" t="s">
        <v>127</v>
      </c>
      <c r="C37" s="9">
        <v>1</v>
      </c>
    </row>
    <row r="38" spans="1:3" x14ac:dyDescent="0.25">
      <c r="A38" t="s">
        <v>70</v>
      </c>
      <c r="B38" t="s">
        <v>56</v>
      </c>
      <c r="C38" s="9">
        <v>30</v>
      </c>
    </row>
    <row r="39" spans="1:3" x14ac:dyDescent="0.25">
      <c r="B39" t="s">
        <v>62</v>
      </c>
      <c r="C39" s="9">
        <v>180</v>
      </c>
    </row>
    <row r="40" spans="1:3" x14ac:dyDescent="0.25">
      <c r="A40" t="s">
        <v>330</v>
      </c>
      <c r="B40" t="s">
        <v>595</v>
      </c>
      <c r="C40" s="9">
        <v>140</v>
      </c>
    </row>
    <row r="41" spans="1:3" x14ac:dyDescent="0.25">
      <c r="B41" t="s">
        <v>56</v>
      </c>
      <c r="C41" s="9">
        <v>70</v>
      </c>
    </row>
    <row r="42" spans="1:3" x14ac:dyDescent="0.25">
      <c r="B42" t="s">
        <v>62</v>
      </c>
      <c r="C42" s="9">
        <v>140</v>
      </c>
    </row>
    <row r="43" spans="1:3" x14ac:dyDescent="0.25">
      <c r="A43" t="s">
        <v>488</v>
      </c>
      <c r="B43" t="s">
        <v>62</v>
      </c>
      <c r="C43" s="9">
        <v>70</v>
      </c>
    </row>
    <row r="44" spans="1:3" x14ac:dyDescent="0.25">
      <c r="A44" t="s">
        <v>634</v>
      </c>
      <c r="B44" t="s">
        <v>606</v>
      </c>
      <c r="C44" s="9">
        <v>1</v>
      </c>
    </row>
    <row r="45" spans="1:3" x14ac:dyDescent="0.25">
      <c r="A45" t="s">
        <v>238</v>
      </c>
      <c r="B45" t="s">
        <v>606</v>
      </c>
      <c r="C45" s="9">
        <v>210</v>
      </c>
    </row>
    <row r="46" spans="1:3" x14ac:dyDescent="0.25">
      <c r="B46" t="s">
        <v>56</v>
      </c>
      <c r="C46" s="9">
        <v>350</v>
      </c>
    </row>
    <row r="47" spans="1:3" x14ac:dyDescent="0.25">
      <c r="B47" t="s">
        <v>45</v>
      </c>
      <c r="C47" s="9">
        <v>70</v>
      </c>
    </row>
    <row r="48" spans="1:3" x14ac:dyDescent="0.25">
      <c r="B48" t="s">
        <v>127</v>
      </c>
      <c r="C48" s="9">
        <v>70</v>
      </c>
    </row>
    <row r="49" spans="1:3" x14ac:dyDescent="0.25">
      <c r="A49" t="s">
        <v>101</v>
      </c>
      <c r="B49" t="s">
        <v>62</v>
      </c>
      <c r="C49" s="9">
        <v>70</v>
      </c>
    </row>
    <row r="50" spans="1:3" x14ac:dyDescent="0.25">
      <c r="A50" t="s">
        <v>184</v>
      </c>
      <c r="B50" t="s">
        <v>56</v>
      </c>
      <c r="C50" s="9">
        <v>70</v>
      </c>
    </row>
    <row r="51" spans="1:3" x14ac:dyDescent="0.25">
      <c r="A51" t="s">
        <v>483</v>
      </c>
      <c r="B51" t="s">
        <v>62</v>
      </c>
      <c r="C51" s="9">
        <v>35</v>
      </c>
    </row>
    <row r="52" spans="1:3" x14ac:dyDescent="0.25">
      <c r="A52" t="s">
        <v>86</v>
      </c>
      <c r="B52" t="s">
        <v>595</v>
      </c>
      <c r="C52" s="9">
        <v>90</v>
      </c>
    </row>
    <row r="53" spans="1:3" x14ac:dyDescent="0.25">
      <c r="B53" t="s">
        <v>56</v>
      </c>
      <c r="C53" s="9">
        <v>90</v>
      </c>
    </row>
    <row r="54" spans="1:3" x14ac:dyDescent="0.25">
      <c r="B54" t="s">
        <v>62</v>
      </c>
      <c r="C54" s="9">
        <v>20</v>
      </c>
    </row>
    <row r="55" spans="1:3" x14ac:dyDescent="0.25">
      <c r="A55" t="s">
        <v>106</v>
      </c>
      <c r="B55" t="s">
        <v>595</v>
      </c>
      <c r="C55" s="9">
        <v>70</v>
      </c>
    </row>
    <row r="56" spans="1:3" x14ac:dyDescent="0.25">
      <c r="B56" t="s">
        <v>62</v>
      </c>
      <c r="C56" s="9">
        <v>210</v>
      </c>
    </row>
    <row r="57" spans="1:3" x14ac:dyDescent="0.25">
      <c r="A57" t="s">
        <v>111</v>
      </c>
      <c r="B57" t="s">
        <v>595</v>
      </c>
      <c r="C57" s="9">
        <v>210</v>
      </c>
    </row>
    <row r="58" spans="1:3" x14ac:dyDescent="0.25">
      <c r="B58" t="s">
        <v>56</v>
      </c>
      <c r="C58" s="9">
        <v>140</v>
      </c>
    </row>
    <row r="59" spans="1:3" x14ac:dyDescent="0.25">
      <c r="B59" t="s">
        <v>45</v>
      </c>
      <c r="C59" s="9">
        <v>70</v>
      </c>
    </row>
    <row r="60" spans="1:3" x14ac:dyDescent="0.25">
      <c r="B60" t="s">
        <v>62</v>
      </c>
      <c r="C60" s="9">
        <v>280</v>
      </c>
    </row>
    <row r="61" spans="1:3" x14ac:dyDescent="0.25">
      <c r="A61" t="s">
        <v>643</v>
      </c>
      <c r="B61" t="s">
        <v>45</v>
      </c>
      <c r="C61" s="9">
        <v>210</v>
      </c>
    </row>
    <row r="62" spans="1:3" x14ac:dyDescent="0.25">
      <c r="A62" t="s">
        <v>618</v>
      </c>
      <c r="B62" t="s">
        <v>127</v>
      </c>
      <c r="C62" s="9">
        <v>70</v>
      </c>
    </row>
    <row r="63" spans="1:3" x14ac:dyDescent="0.25">
      <c r="A63" t="s">
        <v>473</v>
      </c>
      <c r="B63" t="s">
        <v>62</v>
      </c>
      <c r="C63" s="9">
        <v>70</v>
      </c>
    </row>
    <row r="64" spans="1:3" x14ac:dyDescent="0.25">
      <c r="A64" t="s">
        <v>143</v>
      </c>
      <c r="B64" t="s">
        <v>56</v>
      </c>
      <c r="C64" s="9">
        <v>280</v>
      </c>
    </row>
    <row r="65" spans="1:3" x14ac:dyDescent="0.25">
      <c r="B65" t="s">
        <v>219</v>
      </c>
      <c r="C65" s="9">
        <v>140</v>
      </c>
    </row>
    <row r="66" spans="1:3" x14ac:dyDescent="0.25">
      <c r="A66" t="s">
        <v>91</v>
      </c>
      <c r="B66" t="s">
        <v>56</v>
      </c>
      <c r="C66" s="9">
        <v>70</v>
      </c>
    </row>
    <row r="67" spans="1:3" x14ac:dyDescent="0.25">
      <c r="A67" t="s">
        <v>162</v>
      </c>
      <c r="B67" t="s">
        <v>56</v>
      </c>
      <c r="C67" s="9">
        <v>70</v>
      </c>
    </row>
    <row r="68" spans="1:3" x14ac:dyDescent="0.25">
      <c r="B68" t="s">
        <v>62</v>
      </c>
      <c r="C68" s="9">
        <v>350</v>
      </c>
    </row>
    <row r="69" spans="1:3" x14ac:dyDescent="0.25">
      <c r="A69" t="s">
        <v>43</v>
      </c>
      <c r="B69" t="s">
        <v>56</v>
      </c>
      <c r="C69" s="9">
        <v>420</v>
      </c>
    </row>
    <row r="70" spans="1:3" x14ac:dyDescent="0.25">
      <c r="B70" t="s">
        <v>45</v>
      </c>
      <c r="C70" s="9">
        <v>210</v>
      </c>
    </row>
    <row r="71" spans="1:3" x14ac:dyDescent="0.25">
      <c r="B71" t="s">
        <v>127</v>
      </c>
      <c r="C71" s="9">
        <v>560</v>
      </c>
    </row>
    <row r="72" spans="1:3" x14ac:dyDescent="0.25">
      <c r="A72" t="s">
        <v>468</v>
      </c>
      <c r="B72" t="s">
        <v>62</v>
      </c>
      <c r="C72" s="9">
        <v>70</v>
      </c>
    </row>
    <row r="73" spans="1:3" x14ac:dyDescent="0.25">
      <c r="A73" t="s">
        <v>478</v>
      </c>
      <c r="B73" t="s">
        <v>62</v>
      </c>
      <c r="C73" s="9">
        <v>140</v>
      </c>
    </row>
    <row r="74" spans="1:3" x14ac:dyDescent="0.25">
      <c r="A74" t="s">
        <v>194</v>
      </c>
      <c r="B74" t="s">
        <v>56</v>
      </c>
      <c r="C74" s="9">
        <v>140</v>
      </c>
    </row>
    <row r="75" spans="1:3" x14ac:dyDescent="0.25">
      <c r="A75" t="s">
        <v>459</v>
      </c>
      <c r="B75" t="s">
        <v>56</v>
      </c>
      <c r="C75" s="9">
        <v>50</v>
      </c>
    </row>
    <row r="76" spans="1:3" x14ac:dyDescent="0.25">
      <c r="B76" t="s">
        <v>62</v>
      </c>
      <c r="C76" s="9">
        <v>70</v>
      </c>
    </row>
    <row r="77" spans="1:3" x14ac:dyDescent="0.25">
      <c r="A77" t="s">
        <v>350</v>
      </c>
      <c r="B77" t="s">
        <v>62</v>
      </c>
      <c r="C77" s="9">
        <v>70</v>
      </c>
    </row>
    <row r="78" spans="1:3" x14ac:dyDescent="0.25">
      <c r="A78" t="s">
        <v>622</v>
      </c>
      <c r="B78" t="s">
        <v>620</v>
      </c>
      <c r="C78" s="9">
        <v>1</v>
      </c>
    </row>
    <row r="79" spans="1:3" x14ac:dyDescent="0.25">
      <c r="A79" t="s">
        <v>355</v>
      </c>
      <c r="B79" t="s">
        <v>56</v>
      </c>
      <c r="C79" s="9">
        <v>30</v>
      </c>
    </row>
    <row r="80" spans="1:3" x14ac:dyDescent="0.25">
      <c r="B80" t="s">
        <v>62</v>
      </c>
      <c r="C80" s="9">
        <v>50</v>
      </c>
    </row>
    <row r="81" spans="1:3" x14ac:dyDescent="0.25">
      <c r="A81" t="s">
        <v>513</v>
      </c>
      <c r="B81" t="s">
        <v>595</v>
      </c>
      <c r="C81" s="9">
        <v>50</v>
      </c>
    </row>
    <row r="82" spans="1:3" x14ac:dyDescent="0.25">
      <c r="B82" t="s">
        <v>56</v>
      </c>
      <c r="C82" s="9">
        <v>34</v>
      </c>
    </row>
    <row r="83" spans="1:3" x14ac:dyDescent="0.25">
      <c r="B83" t="s">
        <v>45</v>
      </c>
      <c r="C83" s="9">
        <v>5</v>
      </c>
    </row>
    <row r="84" spans="1:3" x14ac:dyDescent="0.25">
      <c r="B84" t="s">
        <v>603</v>
      </c>
      <c r="C84" s="9">
        <v>10</v>
      </c>
    </row>
    <row r="85" spans="1:3" x14ac:dyDescent="0.25">
      <c r="B85" t="s">
        <v>62</v>
      </c>
      <c r="C85" s="9">
        <v>115</v>
      </c>
    </row>
    <row r="86" spans="1:3" x14ac:dyDescent="0.25">
      <c r="B86" t="s">
        <v>895</v>
      </c>
      <c r="C86" s="9">
        <v>9</v>
      </c>
    </row>
    <row r="87" spans="1:3" x14ac:dyDescent="0.25">
      <c r="B87" t="s">
        <v>898</v>
      </c>
      <c r="C87" s="9">
        <v>7</v>
      </c>
    </row>
    <row r="88" spans="1:3" x14ac:dyDescent="0.25">
      <c r="A88" t="s">
        <v>277</v>
      </c>
      <c r="B88" t="s">
        <v>62</v>
      </c>
      <c r="C88" s="9">
        <v>140</v>
      </c>
    </row>
    <row r="89" spans="1:3" x14ac:dyDescent="0.25">
      <c r="A89" t="s">
        <v>575</v>
      </c>
      <c r="B89" t="s">
        <v>56</v>
      </c>
      <c r="C89" s="9">
        <v>20</v>
      </c>
    </row>
    <row r="90" spans="1:3" x14ac:dyDescent="0.25">
      <c r="B90" t="s">
        <v>62</v>
      </c>
      <c r="C90" s="9">
        <v>20</v>
      </c>
    </row>
    <row r="91" spans="1:3" x14ac:dyDescent="0.25">
      <c r="A91" t="s">
        <v>252</v>
      </c>
      <c r="B91" t="s">
        <v>56</v>
      </c>
      <c r="C91" s="9">
        <v>70</v>
      </c>
    </row>
    <row r="92" spans="1:3" x14ac:dyDescent="0.25">
      <c r="B92" t="s">
        <v>45</v>
      </c>
      <c r="C92" s="9">
        <v>210</v>
      </c>
    </row>
    <row r="93" spans="1:3" x14ac:dyDescent="0.25">
      <c r="B93" t="s">
        <v>603</v>
      </c>
      <c r="C93" s="9">
        <v>70</v>
      </c>
    </row>
    <row r="94" spans="1:3" x14ac:dyDescent="0.25">
      <c r="B94" t="s">
        <v>127</v>
      </c>
      <c r="C94" s="9">
        <v>70</v>
      </c>
    </row>
    <row r="95" spans="1:3" x14ac:dyDescent="0.25">
      <c r="B95" t="s">
        <v>219</v>
      </c>
      <c r="C95" s="9">
        <v>210</v>
      </c>
    </row>
    <row r="96" spans="1:3" x14ac:dyDescent="0.25">
      <c r="A96" t="s">
        <v>617</v>
      </c>
      <c r="B96" t="s">
        <v>606</v>
      </c>
      <c r="C96" s="9">
        <v>70</v>
      </c>
    </row>
    <row r="97" spans="1:3" x14ac:dyDescent="0.25">
      <c r="A97" t="s">
        <v>257</v>
      </c>
      <c r="B97" t="s">
        <v>56</v>
      </c>
      <c r="C97" s="9">
        <v>70</v>
      </c>
    </row>
    <row r="98" spans="1:3" x14ac:dyDescent="0.25">
      <c r="A98" t="s">
        <v>454</v>
      </c>
      <c r="B98" t="s">
        <v>62</v>
      </c>
      <c r="C98" s="9">
        <v>140</v>
      </c>
    </row>
    <row r="99" spans="1:3" x14ac:dyDescent="0.25">
      <c r="A99" t="s">
        <v>138</v>
      </c>
      <c r="B99" t="s">
        <v>62</v>
      </c>
      <c r="C99" s="9">
        <v>70</v>
      </c>
    </row>
    <row r="100" spans="1:3" x14ac:dyDescent="0.25">
      <c r="A100" t="s">
        <v>368</v>
      </c>
      <c r="B100" t="s">
        <v>595</v>
      </c>
      <c r="C100" s="9">
        <v>120</v>
      </c>
    </row>
    <row r="101" spans="1:3" x14ac:dyDescent="0.25">
      <c r="B101" t="s">
        <v>62</v>
      </c>
      <c r="C101" s="9">
        <v>70</v>
      </c>
    </row>
    <row r="102" spans="1:3" x14ac:dyDescent="0.25">
      <c r="A102" t="s">
        <v>247</v>
      </c>
      <c r="B102" t="s">
        <v>595</v>
      </c>
      <c r="C102" s="9">
        <v>140</v>
      </c>
    </row>
    <row r="103" spans="1:3" x14ac:dyDescent="0.25">
      <c r="B103" t="s">
        <v>56</v>
      </c>
      <c r="C103" s="9">
        <v>140</v>
      </c>
    </row>
    <row r="104" spans="1:3" x14ac:dyDescent="0.25">
      <c r="B104" t="s">
        <v>45</v>
      </c>
      <c r="C104" s="9">
        <v>140</v>
      </c>
    </row>
    <row r="105" spans="1:3" x14ac:dyDescent="0.25">
      <c r="B105" t="s">
        <v>62</v>
      </c>
      <c r="C105" s="9">
        <v>70</v>
      </c>
    </row>
    <row r="106" spans="1:3" x14ac:dyDescent="0.25">
      <c r="A106" t="s">
        <v>377</v>
      </c>
      <c r="B106" t="s">
        <v>56</v>
      </c>
      <c r="C106" s="9">
        <v>40</v>
      </c>
    </row>
    <row r="107" spans="1:3" x14ac:dyDescent="0.25">
      <c r="A107" t="s">
        <v>382</v>
      </c>
      <c r="B107" t="s">
        <v>595</v>
      </c>
      <c r="C107" s="9">
        <v>50</v>
      </c>
    </row>
    <row r="108" spans="1:3" x14ac:dyDescent="0.25">
      <c r="B108" t="s">
        <v>62</v>
      </c>
      <c r="C108" s="9">
        <v>70</v>
      </c>
    </row>
    <row r="109" spans="1:3" x14ac:dyDescent="0.25">
      <c r="A109" t="s">
        <v>387</v>
      </c>
      <c r="B109" t="s">
        <v>56</v>
      </c>
      <c r="C109" s="9">
        <v>14</v>
      </c>
    </row>
    <row r="110" spans="1:3" x14ac:dyDescent="0.25">
      <c r="A110" t="s">
        <v>449</v>
      </c>
      <c r="B110" t="s">
        <v>62</v>
      </c>
      <c r="C110" s="9">
        <v>70</v>
      </c>
    </row>
    <row r="111" spans="1:3" x14ac:dyDescent="0.25">
      <c r="A111" t="s">
        <v>167</v>
      </c>
      <c r="B111" t="s">
        <v>606</v>
      </c>
      <c r="C111" s="9">
        <v>890</v>
      </c>
    </row>
    <row r="112" spans="1:3" x14ac:dyDescent="0.25">
      <c r="B112" t="s">
        <v>56</v>
      </c>
      <c r="C112" s="9">
        <v>1680</v>
      </c>
    </row>
    <row r="113" spans="1:3" x14ac:dyDescent="0.25">
      <c r="B113" t="s">
        <v>620</v>
      </c>
      <c r="C113" s="9">
        <v>525</v>
      </c>
    </row>
    <row r="114" spans="1:3" x14ac:dyDescent="0.25">
      <c r="B114" t="s">
        <v>45</v>
      </c>
      <c r="C114" s="9">
        <v>2870</v>
      </c>
    </row>
    <row r="115" spans="1:3" x14ac:dyDescent="0.25">
      <c r="B115" t="s">
        <v>603</v>
      </c>
      <c r="C115" s="9">
        <v>947</v>
      </c>
    </row>
    <row r="116" spans="1:3" x14ac:dyDescent="0.25">
      <c r="B116" t="s">
        <v>127</v>
      </c>
      <c r="C116" s="9">
        <v>420</v>
      </c>
    </row>
    <row r="117" spans="1:3" x14ac:dyDescent="0.25">
      <c r="A117" t="s">
        <v>444</v>
      </c>
      <c r="B117" t="s">
        <v>62</v>
      </c>
      <c r="C117" s="9">
        <v>70</v>
      </c>
    </row>
    <row r="118" spans="1:3" x14ac:dyDescent="0.25">
      <c r="A118" t="s">
        <v>397</v>
      </c>
      <c r="B118" t="s">
        <v>56</v>
      </c>
      <c r="C118" s="9">
        <v>70</v>
      </c>
    </row>
    <row r="119" spans="1:3" x14ac:dyDescent="0.25">
      <c r="A119" t="s">
        <v>267</v>
      </c>
      <c r="B119" t="s">
        <v>56</v>
      </c>
      <c r="C119" s="9">
        <v>70</v>
      </c>
    </row>
    <row r="120" spans="1:3" x14ac:dyDescent="0.25">
      <c r="A120" t="s">
        <v>439</v>
      </c>
      <c r="B120" t="s">
        <v>62</v>
      </c>
      <c r="C120" s="9">
        <v>70</v>
      </c>
    </row>
    <row r="121" spans="1:3" x14ac:dyDescent="0.25">
      <c r="A121" t="s">
        <v>434</v>
      </c>
      <c r="B121" t="s">
        <v>62</v>
      </c>
      <c r="C121" s="9">
        <v>70</v>
      </c>
    </row>
    <row r="122" spans="1:3" x14ac:dyDescent="0.25">
      <c r="A122" t="s">
        <v>54</v>
      </c>
      <c r="B122" t="s">
        <v>56</v>
      </c>
      <c r="C122" s="9">
        <v>100</v>
      </c>
    </row>
    <row r="123" spans="1:3" x14ac:dyDescent="0.25">
      <c r="B123" t="s">
        <v>62</v>
      </c>
      <c r="C123" s="9">
        <v>1300</v>
      </c>
    </row>
    <row r="124" spans="1:3" x14ac:dyDescent="0.25">
      <c r="A124" t="s">
        <v>429</v>
      </c>
      <c r="B124" t="s">
        <v>62</v>
      </c>
      <c r="C124" s="9">
        <v>70</v>
      </c>
    </row>
    <row r="125" spans="1:3" x14ac:dyDescent="0.25">
      <c r="A125" t="s">
        <v>64</v>
      </c>
      <c r="B125" t="s">
        <v>595</v>
      </c>
      <c r="C125" s="9">
        <v>70</v>
      </c>
    </row>
    <row r="126" spans="1:3" x14ac:dyDescent="0.25">
      <c r="B126" t="s">
        <v>62</v>
      </c>
      <c r="C126" s="9">
        <v>70</v>
      </c>
    </row>
    <row r="127" spans="1:3" x14ac:dyDescent="0.25">
      <c r="A127" t="s">
        <v>262</v>
      </c>
      <c r="B127" t="s">
        <v>56</v>
      </c>
      <c r="C127" s="9">
        <v>70</v>
      </c>
    </row>
    <row r="128" spans="1:3" x14ac:dyDescent="0.25">
      <c r="A128" t="s">
        <v>629</v>
      </c>
      <c r="B128" t="s">
        <v>620</v>
      </c>
      <c r="C128" s="9">
        <v>35</v>
      </c>
    </row>
    <row r="129" spans="1:3" x14ac:dyDescent="0.25">
      <c r="A129" t="s">
        <v>407</v>
      </c>
      <c r="B129" t="s">
        <v>606</v>
      </c>
      <c r="C129" s="9">
        <v>560</v>
      </c>
    </row>
    <row r="130" spans="1:3" x14ac:dyDescent="0.25">
      <c r="B130" t="s">
        <v>56</v>
      </c>
      <c r="C130" s="9">
        <v>210</v>
      </c>
    </row>
    <row r="131" spans="1:3" x14ac:dyDescent="0.25">
      <c r="B131" t="s">
        <v>45</v>
      </c>
      <c r="C131" s="9">
        <v>1890</v>
      </c>
    </row>
    <row r="132" spans="1:3" x14ac:dyDescent="0.25">
      <c r="B132" t="s">
        <v>603</v>
      </c>
      <c r="C132" s="9">
        <v>2870</v>
      </c>
    </row>
    <row r="133" spans="1:3" x14ac:dyDescent="0.25">
      <c r="B133" t="s">
        <v>127</v>
      </c>
      <c r="C133" s="9">
        <v>1760</v>
      </c>
    </row>
    <row r="134" spans="1:3" x14ac:dyDescent="0.25">
      <c r="B134" t="s">
        <v>219</v>
      </c>
      <c r="C134" s="9">
        <v>1920</v>
      </c>
    </row>
    <row r="135" spans="1:3" x14ac:dyDescent="0.25">
      <c r="A135" t="s">
        <v>272</v>
      </c>
      <c r="B135" t="s">
        <v>595</v>
      </c>
      <c r="C135" s="9">
        <v>210</v>
      </c>
    </row>
    <row r="136" spans="1:3" x14ac:dyDescent="0.25">
      <c r="B136" t="s">
        <v>56</v>
      </c>
      <c r="C136" s="9">
        <v>110</v>
      </c>
    </row>
    <row r="137" spans="1:3" x14ac:dyDescent="0.25">
      <c r="B137" t="s">
        <v>62</v>
      </c>
      <c r="C137" s="9">
        <v>350</v>
      </c>
    </row>
    <row r="138" spans="1:3" x14ac:dyDescent="0.25">
      <c r="A138" t="s">
        <v>424</v>
      </c>
      <c r="B138" t="s">
        <v>62</v>
      </c>
      <c r="C138" s="9">
        <v>70</v>
      </c>
    </row>
    <row r="139" spans="1:3" x14ac:dyDescent="0.25">
      <c r="A139" t="s">
        <v>712</v>
      </c>
      <c r="B139" t="s">
        <v>620</v>
      </c>
      <c r="C139" s="9">
        <v>35</v>
      </c>
    </row>
    <row r="140" spans="1:3" x14ac:dyDescent="0.25">
      <c r="A140" t="s">
        <v>768</v>
      </c>
      <c r="B140" t="s">
        <v>620</v>
      </c>
      <c r="C140" s="9">
        <v>35</v>
      </c>
    </row>
    <row r="141" spans="1:3" x14ac:dyDescent="0.25">
      <c r="A141" t="s">
        <v>763</v>
      </c>
      <c r="B141" t="s">
        <v>620</v>
      </c>
      <c r="C141" s="9">
        <v>35</v>
      </c>
    </row>
    <row r="142" spans="1:3" x14ac:dyDescent="0.25">
      <c r="A142" t="s">
        <v>754</v>
      </c>
      <c r="B142" t="s">
        <v>603</v>
      </c>
      <c r="C142" s="9">
        <v>70</v>
      </c>
    </row>
    <row r="143" spans="1:3" x14ac:dyDescent="0.25">
      <c r="A143" t="s">
        <v>811</v>
      </c>
      <c r="B143" t="s">
        <v>595</v>
      </c>
      <c r="C143" s="9">
        <v>70</v>
      </c>
    </row>
    <row r="144" spans="1:3" x14ac:dyDescent="0.25">
      <c r="A144" t="s">
        <v>886</v>
      </c>
      <c r="B144" t="s">
        <v>595</v>
      </c>
      <c r="C144" s="9">
        <v>40</v>
      </c>
    </row>
    <row r="145" spans="1:3" x14ac:dyDescent="0.25">
      <c r="A145" t="s">
        <v>913</v>
      </c>
      <c r="B145" t="s">
        <v>127</v>
      </c>
      <c r="C145" s="9">
        <v>40</v>
      </c>
    </row>
    <row r="146" spans="1:3" x14ac:dyDescent="0.25">
      <c r="A146" t="s">
        <v>684</v>
      </c>
      <c r="C146" s="9">
        <v>32889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9FF5-FBE9-470D-A4BE-FD70D877E3DB}">
  <dimension ref="A1:B17"/>
  <sheetViews>
    <sheetView workbookViewId="0">
      <selection activeCell="A9" sqref="A9"/>
    </sheetView>
  </sheetViews>
  <sheetFormatPr baseColWidth="10" defaultRowHeight="15" x14ac:dyDescent="0.25"/>
  <cols>
    <col min="1" max="1" width="35" bestFit="1" customWidth="1"/>
    <col min="2" max="2" width="23.7109375" bestFit="1" customWidth="1"/>
  </cols>
  <sheetData>
    <row r="1" spans="1:2" x14ac:dyDescent="0.25">
      <c r="A1" s="3" t="s">
        <v>13</v>
      </c>
      <c r="B1" t="s">
        <v>42</v>
      </c>
    </row>
    <row r="3" spans="1:2" x14ac:dyDescent="0.25">
      <c r="A3" s="3" t="s">
        <v>683</v>
      </c>
      <c r="B3" t="s">
        <v>685</v>
      </c>
    </row>
    <row r="4" spans="1:2" x14ac:dyDescent="0.25">
      <c r="A4" s="4" t="s">
        <v>595</v>
      </c>
      <c r="B4" s="6">
        <v>1500</v>
      </c>
    </row>
    <row r="5" spans="1:2" x14ac:dyDescent="0.25">
      <c r="A5" s="4" t="s">
        <v>606</v>
      </c>
      <c r="B5" s="6">
        <v>1801</v>
      </c>
    </row>
    <row r="6" spans="1:2" x14ac:dyDescent="0.25">
      <c r="A6" s="4" t="s">
        <v>56</v>
      </c>
      <c r="B6" s="6">
        <v>5843</v>
      </c>
    </row>
    <row r="7" spans="1:2" x14ac:dyDescent="0.25">
      <c r="A7" s="4" t="s">
        <v>620</v>
      </c>
      <c r="B7" s="6">
        <v>666</v>
      </c>
    </row>
    <row r="8" spans="1:2" x14ac:dyDescent="0.25">
      <c r="A8" s="4" t="s">
        <v>45</v>
      </c>
      <c r="B8" s="6">
        <v>6445</v>
      </c>
    </row>
    <row r="9" spans="1:2" x14ac:dyDescent="0.25">
      <c r="A9" s="4" t="s">
        <v>603</v>
      </c>
      <c r="B9" s="6">
        <v>3967</v>
      </c>
    </row>
    <row r="10" spans="1:2" x14ac:dyDescent="0.25">
      <c r="A10" s="4" t="s">
        <v>127</v>
      </c>
      <c r="B10" s="6">
        <v>3061</v>
      </c>
    </row>
    <row r="11" spans="1:2" x14ac:dyDescent="0.25">
      <c r="A11" s="4" t="s">
        <v>62</v>
      </c>
      <c r="B11" s="6">
        <v>7300</v>
      </c>
    </row>
    <row r="12" spans="1:2" x14ac:dyDescent="0.25">
      <c r="A12" s="4" t="s">
        <v>219</v>
      </c>
      <c r="B12" s="6">
        <v>2290</v>
      </c>
    </row>
    <row r="13" spans="1:2" x14ac:dyDescent="0.25">
      <c r="A13" s="4" t="s">
        <v>895</v>
      </c>
      <c r="B13" s="6">
        <v>9</v>
      </c>
    </row>
    <row r="14" spans="1:2" x14ac:dyDescent="0.25">
      <c r="A14" s="7" t="s">
        <v>513</v>
      </c>
      <c r="B14" s="6">
        <v>9</v>
      </c>
    </row>
    <row r="15" spans="1:2" x14ac:dyDescent="0.25">
      <c r="A15" s="4" t="s">
        <v>898</v>
      </c>
      <c r="B15" s="6">
        <v>7</v>
      </c>
    </row>
    <row r="16" spans="1:2" x14ac:dyDescent="0.25">
      <c r="A16" s="7" t="s">
        <v>513</v>
      </c>
      <c r="B16" s="6">
        <v>7</v>
      </c>
    </row>
    <row r="17" spans="1:2" x14ac:dyDescent="0.25">
      <c r="A17" s="4" t="s">
        <v>684</v>
      </c>
      <c r="B17" s="6">
        <v>32889</v>
      </c>
    </row>
  </sheetData>
  <pageMargins left="0.7" right="0.7" top="0.75" bottom="0.75" header="0.3" footer="0.3"/>
  <pageSetup orientation="portrait" horizontalDpi="1200" verticalDpi="12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495E02-4DF2-4738-9D9D-EA68A446BA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Pedidos_Pistachos (2)</vt:lpstr>
      <vt:lpstr>Pedidos Pendientes</vt:lpstr>
      <vt:lpstr>Pedidos Facturados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RUIZ DIAZ DAVID ISAAC</dc:creator>
  <cp:lastModifiedBy>Gabriel Hernández</cp:lastModifiedBy>
  <dcterms:created xsi:type="dcterms:W3CDTF">2025-09-08T14:22:24Z</dcterms:created>
  <dcterms:modified xsi:type="dcterms:W3CDTF">2026-08-05T19:20:00Z</dcterms:modified>
</cp:coreProperties>
</file>